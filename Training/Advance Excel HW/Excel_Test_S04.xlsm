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8431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SauravG\Documents\Git_Repositories\Excel\Training\Advance Excel HW\"/>
    </mc:Choice>
  </mc:AlternateContent>
  <bookViews>
    <workbookView xWindow="0" yWindow="0" windowWidth="9675" windowHeight="3045"/>
  </bookViews>
  <sheets>
    <sheet name="Home" sheetId="2" r:id="rId1"/>
    <sheet name="Q1" sheetId="3" r:id="rId2"/>
    <sheet name="Q2" sheetId="17" r:id="rId3"/>
    <sheet name="Q3" sheetId="1" r:id="rId4"/>
    <sheet name="Q4" sheetId="9" r:id="rId5"/>
    <sheet name="Q5" sheetId="8" r:id="rId6"/>
    <sheet name="Q6" sheetId="19" r:id="rId7"/>
    <sheet name="Q7" sheetId="10" r:id="rId8"/>
    <sheet name="Q8" sheetId="11" r:id="rId9"/>
    <sheet name="Q9" sheetId="21" r:id="rId10"/>
    <sheet name="Q10" sheetId="23" r:id="rId11"/>
  </sheets>
  <definedNames>
    <definedName name="_xlnm._FilterDatabase" localSheetId="6" hidden="1">'Q6'!$C$8:$G$37</definedName>
  </definedNames>
  <calcPr calcId="162913"/>
</workbook>
</file>

<file path=xl/calcChain.xml><?xml version="1.0" encoding="utf-8"?>
<calcChain xmlns="http://schemas.openxmlformats.org/spreadsheetml/2006/main">
  <c r="I10" i="9" l="1"/>
  <c r="I11" i="9"/>
  <c r="I12" i="9"/>
  <c r="I13" i="9"/>
  <c r="I14" i="9"/>
  <c r="I15" i="9"/>
  <c r="I9" i="9"/>
  <c r="H18" i="19" l="1"/>
  <c r="H19" i="19"/>
  <c r="H20" i="19"/>
  <c r="H17" i="19"/>
  <c r="D11" i="1" l="1"/>
  <c r="D12" i="1"/>
  <c r="D13" i="1"/>
  <c r="D14" i="1"/>
  <c r="D15" i="1"/>
  <c r="D10" i="1"/>
  <c r="F22" i="17"/>
  <c r="F23" i="17"/>
  <c r="F24" i="17"/>
  <c r="F25" i="17"/>
  <c r="F26" i="17"/>
  <c r="F21" i="17"/>
  <c r="E26" i="8" l="1"/>
  <c r="E27" i="8"/>
  <c r="E28" i="8"/>
  <c r="E29" i="8"/>
  <c r="E30" i="8"/>
  <c r="E31" i="8"/>
  <c r="E25" i="8"/>
</calcChain>
</file>

<file path=xl/sharedStrings.xml><?xml version="1.0" encoding="utf-8"?>
<sst xmlns="http://schemas.openxmlformats.org/spreadsheetml/2006/main" count="347" uniqueCount="198">
  <si>
    <t>Ecode</t>
  </si>
  <si>
    <t>Name</t>
  </si>
  <si>
    <t>John</t>
  </si>
  <si>
    <t>Jacob</t>
  </si>
  <si>
    <t>Jane</t>
  </si>
  <si>
    <t>Juniper</t>
  </si>
  <si>
    <t>Ravi</t>
  </si>
  <si>
    <t>Ali</t>
  </si>
  <si>
    <t>Rob</t>
  </si>
  <si>
    <t>Denis</t>
  </si>
  <si>
    <t>Dinesh</t>
  </si>
  <si>
    <t>Data Table</t>
  </si>
  <si>
    <t>Add conditional formatting on below table to change cell colour as per below criteria:</t>
  </si>
  <si>
    <t>Question 1</t>
  </si>
  <si>
    <t>Question 2</t>
  </si>
  <si>
    <t>Question 3</t>
  </si>
  <si>
    <t>Question 4</t>
  </si>
  <si>
    <t>Date</t>
  </si>
  <si>
    <t>Question 5</t>
  </si>
  <si>
    <t>- Use of Mobile phones is not allowed during the test and those using will be disqualified</t>
  </si>
  <si>
    <t>- There are no breaks during the test so once you start you can only leave once it is finished</t>
  </si>
  <si>
    <t>There are a total of 10 Questions to answer. Your time limit is 1 Hour. Rules below:</t>
  </si>
  <si>
    <t>- Anyone using the internet for answers or asking for help will be disqualified</t>
  </si>
  <si>
    <t>All Questions have guidelines to answer them, so please read carefully</t>
  </si>
  <si>
    <t>Question 6</t>
  </si>
  <si>
    <t>Question 7</t>
  </si>
  <si>
    <t>VSAT</t>
  </si>
  <si>
    <t>Survey Chats</t>
  </si>
  <si>
    <t>Skill</t>
  </si>
  <si>
    <t>PM</t>
  </si>
  <si>
    <t>PG</t>
  </si>
  <si>
    <t>Add Pivot Below</t>
  </si>
  <si>
    <t>Question 8</t>
  </si>
  <si>
    <t>Process</t>
  </si>
  <si>
    <t>Question 9</t>
  </si>
  <si>
    <t>Location</t>
  </si>
  <si>
    <t>IND</t>
  </si>
  <si>
    <t>PHP</t>
  </si>
  <si>
    <t>Question 10</t>
  </si>
  <si>
    <t>IND Proc</t>
  </si>
  <si>
    <t>PHP Proc</t>
  </si>
  <si>
    <t>Amex PPD</t>
  </si>
  <si>
    <t>Chex Inq</t>
  </si>
  <si>
    <t>Chex CR</t>
  </si>
  <si>
    <t>O2 PM</t>
  </si>
  <si>
    <t>O2 PG</t>
  </si>
  <si>
    <t>FBP</t>
  </si>
  <si>
    <t>Sprint</t>
  </si>
  <si>
    <t>PPD North</t>
  </si>
  <si>
    <t>Ceridian</t>
  </si>
  <si>
    <t>Amex BB</t>
  </si>
  <si>
    <t>US</t>
  </si>
  <si>
    <t>PPD Sun</t>
  </si>
  <si>
    <t>Credit</t>
  </si>
  <si>
    <t>Checks</t>
  </si>
  <si>
    <t>Leverage</t>
  </si>
  <si>
    <t>EBT</t>
  </si>
  <si>
    <t>* There are 3 Locations, IND/ PHP/ US, Process list should change based on selection*</t>
  </si>
  <si>
    <t xml:space="preserve">   so please ensure that you take any restroom breaks before beginning</t>
  </si>
  <si>
    <t>Add Dropdown below</t>
  </si>
  <si>
    <t>Agent Name</t>
  </si>
  <si>
    <t>Critical%</t>
  </si>
  <si>
    <t>Gawanda Fulton</t>
  </si>
  <si>
    <t>Gloria Kirk</t>
  </si>
  <si>
    <t>Melissa Mason</t>
  </si>
  <si>
    <t>Regina Harris</t>
  </si>
  <si>
    <t>Adriana Rodriguez</t>
  </si>
  <si>
    <t>Joseph Kipp</t>
  </si>
  <si>
    <t>Elizabeth Fleming</t>
  </si>
  <si>
    <t>Corey Copeland</t>
  </si>
  <si>
    <t>Annisha Kennedy</t>
  </si>
  <si>
    <t>Karla McCord</t>
  </si>
  <si>
    <t>Akira Williams</t>
  </si>
  <si>
    <t>Mario Gray</t>
  </si>
  <si>
    <t>Kimberly Austin</t>
  </si>
  <si>
    <t>Bryan King</t>
  </si>
  <si>
    <t>Matthew J Miles</t>
  </si>
  <si>
    <t>Renandy Shelby</t>
  </si>
  <si>
    <t>Scott Turczyn</t>
  </si>
  <si>
    <t>Nora Sanders</t>
  </si>
  <si>
    <t>Gregory Sterrett</t>
  </si>
  <si>
    <t>Deborah Schuetz</t>
  </si>
  <si>
    <t>Northandra Anderson</t>
  </si>
  <si>
    <t>Brittany Stewart</t>
  </si>
  <si>
    <t>Matthew Metcalfe</t>
  </si>
  <si>
    <t>Brittney Chandler</t>
  </si>
  <si>
    <t>Melissa Richardson</t>
  </si>
  <si>
    <t>Kayla Griffin</t>
  </si>
  <si>
    <t>Amanda Childress</t>
  </si>
  <si>
    <t>Jamee Hix</t>
  </si>
  <si>
    <t>Cassie Moses</t>
  </si>
  <si>
    <t>Linda Tanner</t>
  </si>
  <si>
    <t>Create a scroll bar graph that will show 5 agents at a time with their Critical% &amp; No of Evals</t>
  </si>
  <si>
    <t>No of Evals</t>
  </si>
  <si>
    <t>Sr No.</t>
  </si>
  <si>
    <t>Gajudo</t>
  </si>
  <si>
    <t>Tirazona</t>
  </si>
  <si>
    <t>Bolasa</t>
  </si>
  <si>
    <t>Reyes</t>
  </si>
  <si>
    <t>Luarte</t>
  </si>
  <si>
    <t>Ravana</t>
  </si>
  <si>
    <t>1069151</t>
  </si>
  <si>
    <t>1049312</t>
  </si>
  <si>
    <t>1061888</t>
  </si>
  <si>
    <t>1068238</t>
  </si>
  <si>
    <t>1069290</t>
  </si>
  <si>
    <t>1069059</t>
  </si>
  <si>
    <t>1044791</t>
  </si>
  <si>
    <t>Tan</t>
  </si>
  <si>
    <t>Gaviola</t>
  </si>
  <si>
    <t>Raquel</t>
  </si>
  <si>
    <t>Santos</t>
  </si>
  <si>
    <t>Ruizo</t>
  </si>
  <si>
    <t>Orlanda</t>
  </si>
  <si>
    <t>Bayangos</t>
  </si>
  <si>
    <t>Serdan</t>
  </si>
  <si>
    <t>1057904</t>
  </si>
  <si>
    <t>1038485</t>
  </si>
  <si>
    <t>1056482</t>
  </si>
  <si>
    <t>1039048</t>
  </si>
  <si>
    <t>1063639</t>
  </si>
  <si>
    <t>1065207</t>
  </si>
  <si>
    <t>1038507</t>
  </si>
  <si>
    <t>Add a pivot based on data table in same sheet &amp; calculate VSAT% Quarter wise in the pivot itself</t>
  </si>
  <si>
    <t>Vodafone</t>
  </si>
  <si>
    <t xml:space="preserve">O2 </t>
  </si>
  <si>
    <t>Beachbody</t>
  </si>
  <si>
    <t>Amex DRN</t>
  </si>
  <si>
    <t>Chex DE</t>
  </si>
  <si>
    <t>A</t>
  </si>
  <si>
    <t>B</t>
  </si>
  <si>
    <t>C</t>
  </si>
  <si>
    <t>D</t>
  </si>
  <si>
    <t>E</t>
  </si>
  <si>
    <t>F</t>
  </si>
  <si>
    <t>G</t>
  </si>
  <si>
    <t>HR</t>
  </si>
  <si>
    <t>Vikas</t>
  </si>
  <si>
    <t>Mahesh</t>
  </si>
  <si>
    <t>O2</t>
  </si>
  <si>
    <t>Training</t>
  </si>
  <si>
    <t>Quality</t>
  </si>
  <si>
    <t>Find out the Process name From the Ecode</t>
  </si>
  <si>
    <t>HQ Status</t>
  </si>
  <si>
    <t>If any 4 processes have achieved 80% Througput or more, then HQ Status should be "Good" otherwise "BAD"</t>
  </si>
  <si>
    <t>Marcus</t>
  </si>
  <si>
    <t>Batch 4</t>
  </si>
  <si>
    <t>Batch 3</t>
  </si>
  <si>
    <t>Batch 5</t>
  </si>
  <si>
    <t>Batch 1</t>
  </si>
  <si>
    <t>Batch 9</t>
  </si>
  <si>
    <t>Batch 10</t>
  </si>
  <si>
    <t>Batch 11</t>
  </si>
  <si>
    <t>Batch 13</t>
  </si>
  <si>
    <t>Training End date</t>
  </si>
  <si>
    <t>Batch 16</t>
  </si>
  <si>
    <t>Throughput</t>
  </si>
  <si>
    <t>John and Jacob are the Vodafone trainers, please highlight the entire row of a Table  where they have achieved 80% or more Throughput.</t>
  </si>
  <si>
    <t>Trainer Name</t>
  </si>
  <si>
    <t>Batch</t>
  </si>
  <si>
    <t>Trainees</t>
  </si>
  <si>
    <t>Amex BO</t>
  </si>
  <si>
    <t>Calculate the Total number of Trainees Process wise where Throughput is greater or equal to 85% and less than or equal to 95%.</t>
  </si>
  <si>
    <t>Total Trainees</t>
  </si>
  <si>
    <t>VSAT % Calculation: No of VSAT/ Surveyed Chats        (Do not add any additional column)</t>
  </si>
  <si>
    <t>NEXT</t>
  </si>
  <si>
    <t>BACK</t>
  </si>
  <si>
    <t>HOME</t>
  </si>
  <si>
    <t>Create 2  list that changes the process names basis the location you choose</t>
  </si>
  <si>
    <t xml:space="preserve"> MSR Guidelines</t>
  </si>
  <si>
    <t>Amex</t>
  </si>
  <si>
    <t>Aetna</t>
  </si>
  <si>
    <t>Chex</t>
  </si>
  <si>
    <t>Training Start date</t>
  </si>
  <si>
    <t>Find out the training End date of each process considering Saturday and Sunday off for each process with respecitive training tenure?</t>
  </si>
  <si>
    <t>Vikas Gupta</t>
  </si>
  <si>
    <t>Manish Panwar</t>
  </si>
  <si>
    <t>Hari Om</t>
  </si>
  <si>
    <t>Deepak Chawla</t>
  </si>
  <si>
    <t>Sanjay Sharma</t>
  </si>
  <si>
    <t>Harshwardhan Singh</t>
  </si>
  <si>
    <t>Training Tenure</t>
  </si>
  <si>
    <t xml:space="preserve">Use a Fomula on below names to convert into US format name. </t>
  </si>
  <si>
    <t>See Example below</t>
  </si>
  <si>
    <t>Arya, Deepak</t>
  </si>
  <si>
    <t>Deepak Arya</t>
  </si>
  <si>
    <t>Example</t>
  </si>
  <si>
    <t>US format</t>
  </si>
  <si>
    <t>GGN</t>
  </si>
  <si>
    <t>BLR</t>
  </si>
  <si>
    <t>MUM</t>
  </si>
  <si>
    <t>Score</t>
  </si>
  <si>
    <t>Sum</t>
  </si>
  <si>
    <t>Using Option button and data below find out the sum of score of  location selected in button.</t>
  </si>
  <si>
    <t>Go end of the data</t>
  </si>
  <si>
    <t>where you will put your</t>
  </si>
  <si>
    <t>Pivot table</t>
  </si>
  <si>
    <t>Start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</si>
</sst>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;;;"/>
    <numFmt numFmtId="165" formatCode="0.0%"/>
  </numFmts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rgb="FF807F83"/>
      <name val="Calibri"/>
      <family val="2"/>
      <scheme val="minor"/>
    </font>
    <font>
      <b/>
      <u/>
      <sz val="16"/>
      <color rgb="FF807F83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name val="Trebuchet MS"/>
      <family val="2"/>
    </font>
    <font>
      <b/>
      <sz val="10"/>
      <color indexed="9"/>
      <name val="Trebuchet MS"/>
      <family val="2"/>
    </font>
    <font>
      <b/>
      <sz val="11"/>
      <color theme="1"/>
      <name val="Calibri"/>
      <family val="2"/>
      <scheme val="minor"/>
    </font>
    <font>
      <b/>
      <sz val="9"/>
      <color rgb="FF002060"/>
      <name val="Calibri"/>
      <family val="2"/>
      <scheme val="minor"/>
    </font>
    <font>
      <b/>
      <sz val="11"/>
      <color theme="0" tint="-4.9989318521683403E-2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rgb="FF000000"/>
      <name val="Tahoma"/>
      <family val="2"/>
    </font>
  </fonts>
  <fills count="13">
    <fill>
      <patternFill patternType="none"/>
    </fill>
    <fill>
      <patternFill patternType="gray125"/>
    </fill>
    <fill>
      <patternFill patternType="solid">
        <fgColor rgb="FF007E80"/>
        <bgColor indexed="64"/>
      </patternFill>
    </fill>
    <fill>
      <patternFill patternType="solid">
        <fgColor rgb="FFE2E2E3"/>
        <bgColor indexed="64"/>
      </patternFill>
    </fill>
    <fill>
      <gradientFill degree="90">
        <stop position="0">
          <color rgb="FFB1C400"/>
        </stop>
        <stop position="1">
          <color rgb="FF8DC63F"/>
        </stop>
      </gradientFill>
    </fill>
    <fill>
      <patternFill patternType="solid">
        <fgColor rgb="FF807F83"/>
        <bgColor indexed="64"/>
      </patternFill>
    </fill>
    <fill>
      <patternFill patternType="solid">
        <fgColor rgb="FF005F83"/>
        <bgColor indexed="64"/>
      </patternFill>
    </fill>
    <fill>
      <patternFill patternType="solid">
        <fgColor rgb="FF8DC63F"/>
        <bgColor indexed="64"/>
      </patternFill>
    </fill>
    <fill>
      <patternFill patternType="solid">
        <fgColor rgb="FFB1C400"/>
        <bgColor indexed="64"/>
      </patternFill>
    </fill>
    <fill>
      <patternFill patternType="solid">
        <fgColor indexed="20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0" tint="-0.14999847407452621"/>
        <bgColor indexed="64"/>
      </patternFill>
    </fill>
  </fills>
  <borders count="18">
    <border>
      <left/>
      <right/>
      <top/>
      <bottom/>
      <diagonal/>
    </border>
    <border>
      <left style="thin">
        <color rgb="FFE2E2E3"/>
      </left>
      <right style="thin">
        <color rgb="FFE2E2E3"/>
      </right>
      <top style="thin">
        <color rgb="FFE2E2E3"/>
      </top>
      <bottom style="thin">
        <color rgb="FFE2E2E3"/>
      </bottom>
      <diagonal/>
    </border>
    <border>
      <left style="thin">
        <color rgb="FFE2E2E3"/>
      </left>
      <right style="thin">
        <color indexed="64"/>
      </right>
      <top style="thin">
        <color rgb="FFE2E2E3"/>
      </top>
      <bottom style="thin">
        <color rgb="FFE2E2E3"/>
      </bottom>
      <diagonal/>
    </border>
    <border>
      <left style="thin">
        <color indexed="64"/>
      </left>
      <right style="thin">
        <color indexed="64"/>
      </right>
      <top style="thin">
        <color rgb="FFE2E2E3"/>
      </top>
      <bottom style="thin">
        <color rgb="FFE2E2E3"/>
      </bottom>
      <diagonal/>
    </border>
    <border>
      <left style="thin">
        <color indexed="64"/>
      </left>
      <right style="thin">
        <color rgb="FFE2E2E3"/>
      </right>
      <top style="thin">
        <color rgb="FFE2E2E3"/>
      </top>
      <bottom style="thin">
        <color rgb="FFE2E2E3"/>
      </bottom>
      <diagonal/>
    </border>
    <border>
      <left style="thin">
        <color rgb="FFE2E2E3"/>
      </left>
      <right/>
      <top style="thin">
        <color rgb="FFE2E2E3"/>
      </top>
      <bottom style="thin">
        <color rgb="FFE2E2E3"/>
      </bottom>
      <diagonal/>
    </border>
    <border>
      <left/>
      <right/>
      <top style="thin">
        <color rgb="FFE2E2E3"/>
      </top>
      <bottom style="thin">
        <color rgb="FFE2E2E3"/>
      </bottom>
      <diagonal/>
    </border>
    <border>
      <left/>
      <right style="thin">
        <color rgb="FFE2E2E3"/>
      </right>
      <top style="thin">
        <color rgb="FFE2E2E3"/>
      </top>
      <bottom style="thin">
        <color rgb="FFE2E2E3"/>
      </bottom>
      <diagonal/>
    </border>
    <border>
      <left style="thin">
        <color rgb="FFE2E2E3"/>
      </left>
      <right style="thin">
        <color rgb="FFE2E2E3"/>
      </right>
      <top/>
      <bottom/>
      <diagonal/>
    </border>
    <border>
      <left style="thin">
        <color rgb="FFE2E2E3"/>
      </left>
      <right/>
      <top/>
      <bottom/>
      <diagonal/>
    </border>
    <border>
      <left style="thin">
        <color rgb="FFE2E2E3"/>
      </left>
      <right style="thin">
        <color rgb="FFE2E2E3"/>
      </right>
      <top style="thin">
        <color rgb="FFE2E2E3"/>
      </top>
      <bottom/>
      <diagonal/>
    </border>
    <border>
      <left/>
      <right/>
      <top style="thin">
        <color rgb="FFE2E2E3"/>
      </top>
      <bottom/>
      <diagonal/>
    </border>
    <border>
      <left/>
      <right/>
      <top/>
      <bottom style="thin">
        <color rgb="FFE2E2E3"/>
      </bottom>
      <diagonal/>
    </border>
    <border>
      <left/>
      <right style="thin">
        <color rgb="FFE2E2E3"/>
      </right>
      <top/>
      <bottom style="thin">
        <color rgb="FFE2E2E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E2E2E3"/>
      </left>
      <right/>
      <top style="thin">
        <color rgb="FFE2E2E3"/>
      </top>
      <bottom/>
      <diagonal/>
    </border>
    <border>
      <left/>
      <right style="thin">
        <color rgb="FFE2E2E3"/>
      </right>
      <top style="thin">
        <color rgb="FFE2E2E3"/>
      </top>
      <bottom/>
      <diagonal/>
    </border>
    <border>
      <left style="thin">
        <color rgb="FFE2E2E3"/>
      </left>
      <right/>
      <top/>
      <bottom style="thin">
        <color rgb="FFE2E2E3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/>
  </cellStyleXfs>
  <cellXfs count="85">
    <xf numFmtId="0" fontId="0" fillId="0" borderId="0" xfId="0"/>
    <xf numFmtId="0" fontId="0" fillId="0" borderId="1" xfId="0" applyBorder="1" applyAlignment="1">
      <alignment horizontal="center" vertical="center"/>
    </xf>
    <xf numFmtId="0" fontId="2" fillId="5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10" fontId="0" fillId="0" borderId="1" xfId="1" applyNumberFormat="1" applyFon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3" fillId="3" borderId="6" xfId="0" applyFont="1" applyFill="1" applyBorder="1" applyAlignment="1">
      <alignment horizontal="left"/>
    </xf>
    <xf numFmtId="0" fontId="3" fillId="3" borderId="7" xfId="0" applyFont="1" applyFill="1" applyBorder="1" applyAlignment="1">
      <alignment horizontal="left"/>
    </xf>
    <xf numFmtId="0" fontId="0" fillId="0" borderId="1" xfId="0" applyBorder="1" applyAlignment="1" applyProtection="1">
      <alignment horizontal="center" vertical="center"/>
    </xf>
    <xf numFmtId="0" fontId="3" fillId="3" borderId="5" xfId="0" quotePrefix="1" applyFont="1" applyFill="1" applyBorder="1" applyAlignment="1">
      <alignment horizontal="left"/>
    </xf>
    <xf numFmtId="0" fontId="0" fillId="0" borderId="0" xfId="0" applyNumberFormat="1"/>
    <xf numFmtId="164" fontId="0" fillId="0" borderId="0" xfId="0" applyNumberFormat="1"/>
    <xf numFmtId="0" fontId="2" fillId="5" borderId="8" xfId="0" applyFont="1" applyFill="1" applyBorder="1" applyAlignment="1">
      <alignment horizontal="center" vertical="center"/>
    </xf>
    <xf numFmtId="0" fontId="2" fillId="5" borderId="10" xfId="0" applyFont="1" applyFill="1" applyBorder="1" applyAlignment="1">
      <alignment horizontal="center" vertical="center"/>
    </xf>
    <xf numFmtId="9" fontId="0" fillId="0" borderId="1" xfId="0" applyNumberFormat="1" applyBorder="1" applyAlignment="1">
      <alignment horizontal="center" vertical="center"/>
    </xf>
    <xf numFmtId="0" fontId="2" fillId="2" borderId="8" xfId="0" applyFont="1" applyFill="1" applyBorder="1" applyAlignment="1">
      <alignment horizontal="center" vertical="center"/>
    </xf>
    <xf numFmtId="0" fontId="0" fillId="0" borderId="8" xfId="0" applyFill="1" applyBorder="1" applyAlignment="1" applyProtection="1">
      <alignment horizontal="center" vertical="center"/>
    </xf>
    <xf numFmtId="0" fontId="0" fillId="0" borderId="8" xfId="0" applyFill="1" applyBorder="1" applyAlignment="1" applyProtection="1">
      <alignment horizontal="center" vertical="center"/>
      <protection locked="0"/>
    </xf>
    <xf numFmtId="15" fontId="0" fillId="0" borderId="1" xfId="0" applyNumberFormat="1" applyBorder="1" applyAlignment="1">
      <alignment horizontal="center" vertical="center"/>
    </xf>
    <xf numFmtId="0" fontId="2" fillId="7" borderId="1" xfId="0" applyFont="1" applyFill="1" applyBorder="1" applyAlignment="1">
      <alignment horizontal="center" vertical="center"/>
    </xf>
    <xf numFmtId="0" fontId="0" fillId="0" borderId="1" xfId="1" applyNumberFormat="1" applyFont="1" applyBorder="1" applyAlignment="1" applyProtection="1">
      <alignment horizontal="center" vertical="center"/>
      <protection locked="0"/>
    </xf>
    <xf numFmtId="15" fontId="0" fillId="0" borderId="1" xfId="1" applyNumberFormat="1" applyFont="1" applyBorder="1" applyAlignment="1" applyProtection="1">
      <alignment horizontal="center" vertical="center"/>
      <protection locked="0"/>
    </xf>
    <xf numFmtId="0" fontId="0" fillId="2" borderId="0" xfId="0" applyFill="1"/>
    <xf numFmtId="165" fontId="0" fillId="0" borderId="1" xfId="0" applyNumberFormat="1" applyBorder="1" applyAlignment="1">
      <alignment horizontal="center" vertical="center"/>
    </xf>
    <xf numFmtId="0" fontId="2" fillId="6" borderId="12" xfId="0" applyFont="1" applyFill="1" applyBorder="1" applyAlignment="1">
      <alignment vertical="center"/>
    </xf>
    <xf numFmtId="0" fontId="2" fillId="6" borderId="13" xfId="0" applyFont="1" applyFill="1" applyBorder="1" applyAlignment="1">
      <alignment vertical="center"/>
    </xf>
    <xf numFmtId="0" fontId="2" fillId="5" borderId="1" xfId="0" applyFont="1" applyFill="1" applyBorder="1" applyAlignment="1" applyProtection="1">
      <alignment horizontal="center" vertical="center"/>
      <protection locked="0"/>
    </xf>
    <xf numFmtId="0" fontId="2" fillId="8" borderId="1" xfId="0" applyFont="1" applyFill="1" applyBorder="1" applyAlignment="1" applyProtection="1">
      <alignment horizontal="center" vertical="center"/>
      <protection locked="0"/>
    </xf>
    <xf numFmtId="0" fontId="0" fillId="0" borderId="1" xfId="0" applyNumberFormat="1" applyBorder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15" fontId="0" fillId="0" borderId="1" xfId="0" applyNumberFormat="1" applyBorder="1" applyAlignment="1">
      <alignment vertical="center"/>
    </xf>
    <xf numFmtId="0" fontId="2" fillId="8" borderId="0" xfId="2" applyFont="1" applyFill="1" applyAlignment="1">
      <alignment horizontal="center" vertical="center"/>
    </xf>
    <xf numFmtId="0" fontId="7" fillId="9" borderId="14" xfId="3" applyFont="1" applyFill="1" applyBorder="1" applyAlignment="1">
      <alignment horizontal="center"/>
    </xf>
    <xf numFmtId="0" fontId="0" fillId="10" borderId="14" xfId="3" applyFont="1" applyFill="1" applyBorder="1" applyAlignment="1">
      <alignment horizontal="center"/>
    </xf>
    <xf numFmtId="0" fontId="2" fillId="8" borderId="14" xfId="2" applyNumberFormat="1" applyFont="1" applyFill="1" applyBorder="1" applyAlignment="1">
      <alignment horizontal="center" vertical="center"/>
    </xf>
    <xf numFmtId="0" fontId="0" fillId="0" borderId="14" xfId="0" applyBorder="1"/>
    <xf numFmtId="0" fontId="0" fillId="0" borderId="14" xfId="0" applyBorder="1" applyAlignment="1">
      <alignment horizontal="center"/>
    </xf>
    <xf numFmtId="15" fontId="0" fillId="11" borderId="14" xfId="3" applyNumberFormat="1" applyFont="1" applyFill="1" applyBorder="1" applyAlignment="1">
      <alignment horizontal="center"/>
    </xf>
    <xf numFmtId="0" fontId="0" fillId="11" borderId="14" xfId="3" applyNumberFormat="1" applyFont="1" applyFill="1" applyBorder="1" applyAlignment="1">
      <alignment horizontal="center"/>
    </xf>
    <xf numFmtId="0" fontId="9" fillId="0" borderId="0" xfId="0" applyFont="1"/>
    <xf numFmtId="0" fontId="9" fillId="0" borderId="14" xfId="0" applyFont="1" applyBorder="1"/>
    <xf numFmtId="0" fontId="9" fillId="0" borderId="14" xfId="0" applyFont="1" applyBorder="1" applyAlignment="1">
      <alignment horizontal="center"/>
    </xf>
    <xf numFmtId="0" fontId="10" fillId="2" borderId="14" xfId="0" applyFont="1" applyFill="1" applyBorder="1" applyAlignment="1">
      <alignment horizontal="center"/>
    </xf>
    <xf numFmtId="0" fontId="2" fillId="5" borderId="14" xfId="0" applyFont="1" applyFill="1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10" fontId="0" fillId="0" borderId="14" xfId="1" applyNumberFormat="1" applyFont="1" applyBorder="1" applyAlignment="1">
      <alignment horizontal="center" vertical="center"/>
    </xf>
    <xf numFmtId="0" fontId="0" fillId="12" borderId="14" xfId="0" applyFill="1" applyBorder="1" applyAlignment="1">
      <alignment horizontal="center"/>
    </xf>
    <xf numFmtId="0" fontId="8" fillId="0" borderId="0" xfId="0" applyFont="1"/>
    <xf numFmtId="0" fontId="11" fillId="0" borderId="0" xfId="0" applyFont="1"/>
    <xf numFmtId="0" fontId="2" fillId="4" borderId="2" xfId="0" applyFont="1" applyFill="1" applyBorder="1" applyAlignment="1">
      <alignment horizontal="center"/>
    </xf>
    <xf numFmtId="0" fontId="2" fillId="4" borderId="3" xfId="0" applyFont="1" applyFill="1" applyBorder="1" applyAlignment="1">
      <alignment horizontal="center"/>
    </xf>
    <xf numFmtId="0" fontId="2" fillId="4" borderId="4" xfId="0" applyFont="1" applyFill="1" applyBorder="1" applyAlignment="1">
      <alignment horizontal="center"/>
    </xf>
    <xf numFmtId="0" fontId="4" fillId="0" borderId="0" xfId="0" applyFont="1" applyAlignment="1">
      <alignment horizontal="center" vertical="top"/>
    </xf>
    <xf numFmtId="0" fontId="3" fillId="3" borderId="5" xfId="0" quotePrefix="1" applyFont="1" applyFill="1" applyBorder="1" applyAlignment="1">
      <alignment horizontal="left"/>
    </xf>
    <xf numFmtId="0" fontId="3" fillId="3" borderId="6" xfId="0" applyFont="1" applyFill="1" applyBorder="1" applyAlignment="1">
      <alignment horizontal="left"/>
    </xf>
    <xf numFmtId="0" fontId="3" fillId="3" borderId="7" xfId="0" applyFont="1" applyFill="1" applyBorder="1" applyAlignment="1">
      <alignment horizontal="left"/>
    </xf>
    <xf numFmtId="0" fontId="2" fillId="2" borderId="6" xfId="0" applyFont="1" applyFill="1" applyBorder="1" applyAlignment="1">
      <alignment horizontal="center"/>
    </xf>
    <xf numFmtId="0" fontId="3" fillId="3" borderId="11" xfId="0" applyFont="1" applyFill="1" applyBorder="1" applyAlignment="1">
      <alignment horizontal="center" wrapText="1"/>
    </xf>
    <xf numFmtId="0" fontId="3" fillId="3" borderId="0" xfId="0" applyFont="1" applyFill="1" applyBorder="1" applyAlignment="1">
      <alignment horizontal="center" wrapText="1"/>
    </xf>
    <xf numFmtId="0" fontId="3" fillId="3" borderId="2" xfId="0" applyFont="1" applyFill="1" applyBorder="1" applyAlignment="1">
      <alignment horizontal="center"/>
    </xf>
    <xf numFmtId="0" fontId="3" fillId="3" borderId="3" xfId="0" applyFont="1" applyFill="1" applyBorder="1" applyAlignment="1">
      <alignment horizontal="center"/>
    </xf>
    <xf numFmtId="0" fontId="3" fillId="3" borderId="4" xfId="0" applyFont="1" applyFill="1" applyBorder="1" applyAlignment="1">
      <alignment horizontal="center"/>
    </xf>
    <xf numFmtId="0" fontId="3" fillId="3" borderId="5" xfId="0" applyFont="1" applyFill="1" applyBorder="1" applyAlignment="1" applyProtection="1">
      <alignment horizontal="center" vertical="center"/>
      <protection locked="0"/>
    </xf>
    <xf numFmtId="0" fontId="3" fillId="3" borderId="6" xfId="0" applyFont="1" applyFill="1" applyBorder="1" applyAlignment="1" applyProtection="1">
      <alignment horizontal="center" vertical="center"/>
      <protection locked="0"/>
    </xf>
    <xf numFmtId="0" fontId="3" fillId="3" borderId="7" xfId="0" applyFont="1" applyFill="1" applyBorder="1" applyAlignment="1" applyProtection="1">
      <alignment horizontal="center" vertical="center"/>
      <protection locked="0"/>
    </xf>
    <xf numFmtId="0" fontId="2" fillId="4" borderId="9" xfId="0" applyFont="1" applyFill="1" applyBorder="1" applyAlignment="1">
      <alignment horizontal="center"/>
    </xf>
    <xf numFmtId="0" fontId="2" fillId="4" borderId="0" xfId="0" applyFont="1" applyFill="1" applyBorder="1" applyAlignment="1">
      <alignment horizontal="center"/>
    </xf>
    <xf numFmtId="0" fontId="2" fillId="4" borderId="1" xfId="0" applyFont="1" applyFill="1" applyBorder="1" applyAlignment="1">
      <alignment horizontal="center"/>
    </xf>
    <xf numFmtId="0" fontId="3" fillId="3" borderId="5" xfId="0" applyFont="1" applyFill="1" applyBorder="1" applyAlignment="1" applyProtection="1">
      <alignment horizontal="right" vertical="center"/>
      <protection locked="0"/>
    </xf>
    <xf numFmtId="0" fontId="3" fillId="3" borderId="6" xfId="0" applyFont="1" applyFill="1" applyBorder="1" applyAlignment="1" applyProtection="1">
      <alignment horizontal="right" vertical="center"/>
      <protection locked="0"/>
    </xf>
    <xf numFmtId="0" fontId="3" fillId="3" borderId="7" xfId="0" applyFont="1" applyFill="1" applyBorder="1" applyAlignment="1" applyProtection="1">
      <alignment horizontal="right" vertical="center"/>
      <protection locked="0"/>
    </xf>
    <xf numFmtId="0" fontId="2" fillId="4" borderId="9" xfId="0" applyFont="1" applyFill="1" applyBorder="1" applyAlignment="1">
      <alignment horizontal="center" wrapText="1"/>
    </xf>
    <xf numFmtId="0" fontId="2" fillId="4" borderId="0" xfId="0" applyFont="1" applyFill="1" applyBorder="1" applyAlignment="1">
      <alignment horizontal="center" wrapText="1"/>
    </xf>
    <xf numFmtId="0" fontId="2" fillId="5" borderId="5" xfId="0" applyFont="1" applyFill="1" applyBorder="1" applyAlignment="1">
      <alignment horizontal="center" vertical="center"/>
    </xf>
    <xf numFmtId="0" fontId="2" fillId="5" borderId="6" xfId="0" applyFont="1" applyFill="1" applyBorder="1" applyAlignment="1">
      <alignment horizontal="center" vertical="center"/>
    </xf>
    <xf numFmtId="0" fontId="2" fillId="5" borderId="7" xfId="0" applyFont="1" applyFill="1" applyBorder="1" applyAlignment="1">
      <alignment horizontal="center" vertical="center"/>
    </xf>
    <xf numFmtId="0" fontId="2" fillId="4" borderId="5" xfId="0" applyFont="1" applyFill="1" applyBorder="1" applyAlignment="1">
      <alignment horizontal="center"/>
    </xf>
    <xf numFmtId="0" fontId="2" fillId="4" borderId="6" xfId="0" applyFont="1" applyFill="1" applyBorder="1" applyAlignment="1">
      <alignment horizontal="center"/>
    </xf>
    <xf numFmtId="0" fontId="2" fillId="4" borderId="7" xfId="0" applyFont="1" applyFill="1" applyBorder="1" applyAlignment="1">
      <alignment horizontal="center"/>
    </xf>
    <xf numFmtId="0" fontId="2" fillId="4" borderId="15" xfId="0" applyFont="1" applyFill="1" applyBorder="1" applyAlignment="1">
      <alignment horizontal="center" wrapText="1"/>
    </xf>
    <xf numFmtId="0" fontId="2" fillId="4" borderId="11" xfId="0" applyFont="1" applyFill="1" applyBorder="1" applyAlignment="1">
      <alignment horizontal="center" wrapText="1"/>
    </xf>
    <xf numFmtId="0" fontId="2" fillId="4" borderId="16" xfId="0" applyFont="1" applyFill="1" applyBorder="1" applyAlignment="1">
      <alignment horizontal="center" wrapText="1"/>
    </xf>
    <xf numFmtId="0" fontId="2" fillId="4" borderId="17" xfId="0" applyFont="1" applyFill="1" applyBorder="1" applyAlignment="1">
      <alignment horizontal="center" wrapText="1"/>
    </xf>
    <xf numFmtId="0" fontId="2" fillId="4" borderId="12" xfId="0" applyFont="1" applyFill="1" applyBorder="1" applyAlignment="1">
      <alignment horizontal="center" wrapText="1"/>
    </xf>
    <xf numFmtId="0" fontId="2" fillId="4" borderId="13" xfId="0" applyFont="1" applyFill="1" applyBorder="1" applyAlignment="1">
      <alignment horizontal="center" wrapText="1"/>
    </xf>
  </cellXfs>
  <cellStyles count="4">
    <cellStyle name="Hyperlink" xfId="2" builtinId="8"/>
    <cellStyle name="Norm੎੎" xfId="3"/>
    <cellStyle name="Normal" xfId="0" builtinId="0"/>
    <cellStyle name="Percent" xfId="1" builtinId="5"/>
  </cellStyles>
  <dxfs count="1">
    <dxf>
      <fill>
        <patternFill>
          <bgColor theme="6" tint="-0.24994659260841701"/>
        </patternFill>
      </fill>
    </dxf>
  </dxfs>
  <tableStyles count="0" defaultTableStyle="TableStyleMedium2" defaultPivotStyle="PivotStyleLight16"/>
  <colors>
    <mruColors>
      <color rgb="FF007E80"/>
      <color rgb="FF807F83"/>
      <color rgb="FF8DC63F"/>
      <color rgb="FF005F83"/>
      <color rgb="FFB1C400"/>
      <color rgb="FFE2E2E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Radio" firstButton="1" fmlaLink="$J$7" lockText="1"/>
</file>

<file path=xl/ctrlProps/ctrlProp2.xml><?xml version="1.0" encoding="utf-8"?>
<formControlPr xmlns="http://schemas.microsoft.com/office/spreadsheetml/2009/9/main" objectType="Radio" lockText="1"/>
</file>

<file path=xl/ctrlProps/ctrlProp3.xml><?xml version="1.0" encoding="utf-8"?>
<formControlPr xmlns="http://schemas.microsoft.com/office/spreadsheetml/2009/9/main" objectType="Radio" checked="Checked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447675</xdr:colOff>
          <xdr:row>7</xdr:row>
          <xdr:rowOff>76200</xdr:rowOff>
        </xdr:from>
        <xdr:to>
          <xdr:col>5</xdr:col>
          <xdr:colOff>419100</xdr:colOff>
          <xdr:row>8</xdr:row>
          <xdr:rowOff>190500</xdr:rowOff>
        </xdr:to>
        <xdr:sp macro="" textlink="">
          <xdr:nvSpPr>
            <xdr:cNvPr id="11265" name="Option 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A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762000</xdr:colOff>
          <xdr:row>7</xdr:row>
          <xdr:rowOff>85725</xdr:rowOff>
        </xdr:from>
        <xdr:to>
          <xdr:col>6</xdr:col>
          <xdr:colOff>428625</xdr:colOff>
          <xdr:row>8</xdr:row>
          <xdr:rowOff>190500</xdr:rowOff>
        </xdr:to>
        <xdr:sp macro="" textlink="">
          <xdr:nvSpPr>
            <xdr:cNvPr id="11266" name="Option 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A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200025</xdr:colOff>
          <xdr:row>7</xdr:row>
          <xdr:rowOff>85725</xdr:rowOff>
        </xdr:from>
        <xdr:to>
          <xdr:col>8</xdr:col>
          <xdr:colOff>171450</xdr:colOff>
          <xdr:row>8</xdr:row>
          <xdr:rowOff>190500</xdr:rowOff>
        </xdr:to>
        <xdr:sp macro="" textlink="">
          <xdr:nvSpPr>
            <xdr:cNvPr id="11267" name="Option Button 3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A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BLR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K12"/>
  <sheetViews>
    <sheetView showGridLines="0" showRowColHeaders="0" tabSelected="1" workbookViewId="0"/>
  </sheetViews>
  <sheetFormatPr defaultColWidth="0" defaultRowHeight="15" zeroHeight="1" x14ac:dyDescent="0.25"/>
  <cols>
    <col min="1" max="1" width="4" bestFit="1" customWidth="1"/>
    <col min="2" max="10" width="9.140625" customWidth="1"/>
    <col min="11" max="11" width="4" bestFit="1" customWidth="1"/>
    <col min="12" max="16384" width="9.140625" hidden="1"/>
  </cols>
  <sheetData>
    <row r="1" spans="2:10" x14ac:dyDescent="0.25"/>
    <row r="2" spans="2:10" x14ac:dyDescent="0.25">
      <c r="D2" s="52" t="s">
        <v>169</v>
      </c>
      <c r="E2" s="52"/>
      <c r="F2" s="52"/>
      <c r="G2" s="52"/>
      <c r="H2" s="52"/>
      <c r="J2" s="31" t="s">
        <v>197</v>
      </c>
    </row>
    <row r="3" spans="2:10" x14ac:dyDescent="0.25">
      <c r="D3" s="52"/>
      <c r="E3" s="52"/>
      <c r="F3" s="52"/>
      <c r="G3" s="52"/>
      <c r="H3" s="52"/>
    </row>
    <row r="4" spans="2:10" x14ac:dyDescent="0.25"/>
    <row r="5" spans="2:10" x14ac:dyDescent="0.25">
      <c r="B5" s="49" t="s">
        <v>21</v>
      </c>
      <c r="C5" s="50"/>
      <c r="D5" s="50"/>
      <c r="E5" s="50"/>
      <c r="F5" s="50"/>
      <c r="G5" s="50"/>
      <c r="H5" s="50"/>
      <c r="I5" s="50"/>
      <c r="J5" s="51"/>
    </row>
    <row r="6" spans="2:10" x14ac:dyDescent="0.25">
      <c r="B6" s="53" t="s">
        <v>19</v>
      </c>
      <c r="C6" s="54"/>
      <c r="D6" s="54"/>
      <c r="E6" s="54"/>
      <c r="F6" s="54"/>
      <c r="G6" s="54"/>
      <c r="H6" s="54"/>
      <c r="I6" s="54"/>
      <c r="J6" s="55"/>
    </row>
    <row r="7" spans="2:10" x14ac:dyDescent="0.25">
      <c r="B7" s="53" t="s">
        <v>22</v>
      </c>
      <c r="C7" s="54"/>
      <c r="D7" s="54"/>
      <c r="E7" s="54"/>
      <c r="F7" s="54"/>
      <c r="G7" s="54"/>
      <c r="H7" s="54"/>
      <c r="I7" s="54"/>
      <c r="J7" s="55"/>
    </row>
    <row r="8" spans="2:10" x14ac:dyDescent="0.25">
      <c r="B8" s="53" t="s">
        <v>20</v>
      </c>
      <c r="C8" s="54"/>
      <c r="D8" s="54"/>
      <c r="E8" s="54"/>
      <c r="F8" s="54"/>
      <c r="G8" s="54"/>
      <c r="H8" s="54"/>
      <c r="I8" s="54"/>
      <c r="J8" s="55"/>
    </row>
    <row r="9" spans="2:10" x14ac:dyDescent="0.25">
      <c r="B9" s="9" t="s">
        <v>58</v>
      </c>
      <c r="C9" s="6"/>
      <c r="D9" s="6"/>
      <c r="E9" s="6"/>
      <c r="F9" s="6"/>
      <c r="G9" s="6"/>
      <c r="H9" s="6"/>
      <c r="I9" s="6"/>
      <c r="J9" s="7"/>
    </row>
    <row r="10" spans="2:10" x14ac:dyDescent="0.25">
      <c r="B10" s="49" t="s">
        <v>23</v>
      </c>
      <c r="C10" s="50"/>
      <c r="D10" s="50"/>
      <c r="E10" s="50"/>
      <c r="F10" s="50"/>
      <c r="G10" s="50"/>
      <c r="H10" s="50"/>
      <c r="I10" s="50"/>
      <c r="J10" s="51"/>
    </row>
    <row r="11" spans="2:10" x14ac:dyDescent="0.25"/>
    <row r="12" spans="2:10" x14ac:dyDescent="0.25"/>
  </sheetData>
  <mergeCells count="6">
    <mergeCell ref="B10:J10"/>
    <mergeCell ref="D2:H3"/>
    <mergeCell ref="B5:J5"/>
    <mergeCell ref="B6:J6"/>
    <mergeCell ref="B7:J7"/>
    <mergeCell ref="B8:J8"/>
  </mergeCells>
  <hyperlinks>
    <hyperlink ref="J2" location="'Q1'!A1" tooltip="Q1" display="NEXT"/>
  </hyperlink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26"/>
  <sheetViews>
    <sheetView showGridLines="0" workbookViewId="0"/>
  </sheetViews>
  <sheetFormatPr defaultColWidth="0" defaultRowHeight="15" zeroHeight="1" x14ac:dyDescent="0.25"/>
  <cols>
    <col min="1" max="1" width="4" bestFit="1" customWidth="1"/>
    <col min="2" max="2" width="7.5703125" customWidth="1"/>
    <col min="3" max="3" width="12.42578125" customWidth="1"/>
    <col min="4" max="4" width="13.140625" customWidth="1"/>
    <col min="5" max="5" width="9.5703125" customWidth="1"/>
    <col min="6" max="6" width="10.28515625" customWidth="1"/>
    <col min="7" max="7" width="16.42578125" customWidth="1"/>
    <col min="8" max="8" width="11.28515625" customWidth="1"/>
    <col min="9" max="10" width="9.140625" customWidth="1"/>
    <col min="11" max="11" width="4" bestFit="1" customWidth="1"/>
    <col min="12" max="16384" width="9.140625" hidden="1"/>
  </cols>
  <sheetData>
    <row r="1" spans="2:10" x14ac:dyDescent="0.25"/>
    <row r="2" spans="2:10" x14ac:dyDescent="0.25">
      <c r="B2" s="31" t="s">
        <v>167</v>
      </c>
      <c r="D2" s="52" t="s">
        <v>13</v>
      </c>
      <c r="E2" s="52"/>
      <c r="F2" s="52"/>
      <c r="G2" s="52"/>
      <c r="H2" s="52"/>
      <c r="I2" s="31" t="s">
        <v>165</v>
      </c>
    </row>
    <row r="3" spans="2:10" x14ac:dyDescent="0.25">
      <c r="D3" s="52"/>
      <c r="E3" s="52"/>
      <c r="F3" s="52"/>
      <c r="G3" s="52"/>
      <c r="H3" s="52"/>
    </row>
    <row r="4" spans="2:10" x14ac:dyDescent="0.25"/>
    <row r="5" spans="2:10" x14ac:dyDescent="0.25">
      <c r="B5" s="49" t="s">
        <v>12</v>
      </c>
      <c r="C5" s="50"/>
      <c r="D5" s="50"/>
      <c r="E5" s="50"/>
      <c r="F5" s="50"/>
      <c r="G5" s="50"/>
      <c r="H5" s="50"/>
      <c r="I5" s="50"/>
      <c r="J5" s="51"/>
    </row>
    <row r="6" spans="2:10" x14ac:dyDescent="0.25">
      <c r="B6" s="57" t="s">
        <v>157</v>
      </c>
      <c r="C6" s="57"/>
      <c r="D6" s="57"/>
      <c r="E6" s="57"/>
      <c r="F6" s="57"/>
      <c r="G6" s="57"/>
      <c r="H6" s="57"/>
      <c r="I6" s="57"/>
      <c r="J6" s="57"/>
    </row>
    <row r="7" spans="2:10" x14ac:dyDescent="0.25">
      <c r="B7" s="58"/>
      <c r="C7" s="58"/>
      <c r="D7" s="58"/>
      <c r="E7" s="58"/>
      <c r="F7" s="58"/>
      <c r="G7" s="58"/>
      <c r="H7" s="58"/>
      <c r="I7" s="58"/>
      <c r="J7" s="58"/>
    </row>
    <row r="8" spans="2:10" x14ac:dyDescent="0.25"/>
    <row r="9" spans="2:10" x14ac:dyDescent="0.25">
      <c r="D9" s="56" t="s">
        <v>11</v>
      </c>
      <c r="E9" s="56"/>
      <c r="F9" s="56"/>
      <c r="G9" s="56"/>
      <c r="H9" s="56"/>
    </row>
    <row r="10" spans="2:10" x14ac:dyDescent="0.25">
      <c r="D10" s="26" t="s">
        <v>158</v>
      </c>
      <c r="E10" s="26" t="s">
        <v>0</v>
      </c>
      <c r="F10" s="26" t="s">
        <v>159</v>
      </c>
      <c r="G10" s="26" t="s">
        <v>154</v>
      </c>
      <c r="H10" s="27" t="s">
        <v>156</v>
      </c>
    </row>
    <row r="11" spans="2:10" x14ac:dyDescent="0.25">
      <c r="D11" s="4" t="s">
        <v>3</v>
      </c>
      <c r="E11" s="20">
        <v>3015908</v>
      </c>
      <c r="F11" s="4" t="s">
        <v>146</v>
      </c>
      <c r="G11" s="21">
        <v>42304</v>
      </c>
      <c r="H11" s="4">
        <v>0.98</v>
      </c>
    </row>
    <row r="12" spans="2:10" x14ac:dyDescent="0.25">
      <c r="D12" s="4" t="s">
        <v>4</v>
      </c>
      <c r="E12" s="20">
        <v>3010525</v>
      </c>
      <c r="F12" s="4" t="s">
        <v>147</v>
      </c>
      <c r="G12" s="21">
        <v>42187</v>
      </c>
      <c r="H12" s="4">
        <v>0.84004000000000001</v>
      </c>
    </row>
    <row r="13" spans="2:10" x14ac:dyDescent="0.25">
      <c r="D13" s="4" t="s">
        <v>2</v>
      </c>
      <c r="E13" s="20">
        <v>3003799</v>
      </c>
      <c r="F13" s="4" t="s">
        <v>148</v>
      </c>
      <c r="G13" s="21">
        <v>42165</v>
      </c>
      <c r="H13" s="4">
        <v>0.99363599999999996</v>
      </c>
    </row>
    <row r="14" spans="2:10" x14ac:dyDescent="0.25">
      <c r="D14" s="4" t="s">
        <v>145</v>
      </c>
      <c r="E14" s="20">
        <v>3015811</v>
      </c>
      <c r="F14" s="4" t="s">
        <v>149</v>
      </c>
      <c r="G14" s="21">
        <v>42336</v>
      </c>
      <c r="H14" s="4">
        <v>0.24946069652169489</v>
      </c>
    </row>
    <row r="15" spans="2:10" x14ac:dyDescent="0.25">
      <c r="D15" s="4" t="s">
        <v>3</v>
      </c>
      <c r="E15" s="20">
        <v>3012670</v>
      </c>
      <c r="F15" s="4" t="s">
        <v>146</v>
      </c>
      <c r="G15" s="21">
        <v>42385</v>
      </c>
      <c r="H15" s="4">
        <v>0.97260844935960999</v>
      </c>
    </row>
    <row r="16" spans="2:10" x14ac:dyDescent="0.25">
      <c r="D16" s="4" t="s">
        <v>9</v>
      </c>
      <c r="E16" s="20">
        <v>3004573</v>
      </c>
      <c r="F16" s="4" t="s">
        <v>147</v>
      </c>
      <c r="G16" s="21">
        <v>42411</v>
      </c>
      <c r="H16" s="4">
        <v>0.9887447276780964</v>
      </c>
    </row>
    <row r="17" spans="4:8" x14ac:dyDescent="0.25">
      <c r="D17" s="4" t="s">
        <v>3</v>
      </c>
      <c r="E17" s="20">
        <v>3015908</v>
      </c>
      <c r="F17" s="4" t="s">
        <v>150</v>
      </c>
      <c r="G17" s="21">
        <v>42102</v>
      </c>
      <c r="H17" s="4">
        <v>0.69254199999999999</v>
      </c>
    </row>
    <row r="18" spans="4:8" x14ac:dyDescent="0.25">
      <c r="D18" s="4" t="s">
        <v>2</v>
      </c>
      <c r="E18" s="20">
        <v>3003799</v>
      </c>
      <c r="F18" s="4" t="s">
        <v>151</v>
      </c>
      <c r="G18" s="21">
        <v>42266</v>
      </c>
      <c r="H18" s="4">
        <v>0.88254619999999995</v>
      </c>
    </row>
    <row r="19" spans="4:8" x14ac:dyDescent="0.25">
      <c r="D19" s="4" t="s">
        <v>8</v>
      </c>
      <c r="E19" s="20">
        <v>3021013</v>
      </c>
      <c r="F19" s="4" t="s">
        <v>148</v>
      </c>
      <c r="G19" s="21">
        <v>42410</v>
      </c>
      <c r="H19" s="4">
        <v>0.85</v>
      </c>
    </row>
    <row r="20" spans="4:8" x14ac:dyDescent="0.25">
      <c r="D20" s="4" t="s">
        <v>3</v>
      </c>
      <c r="E20" s="20">
        <v>3015908</v>
      </c>
      <c r="F20" s="4" t="s">
        <v>147</v>
      </c>
      <c r="G20" s="21">
        <v>42240</v>
      </c>
      <c r="H20" s="4">
        <v>0.85255000000000003</v>
      </c>
    </row>
    <row r="21" spans="4:8" x14ac:dyDescent="0.25">
      <c r="D21" s="4" t="s">
        <v>2</v>
      </c>
      <c r="E21" s="20">
        <v>3003799</v>
      </c>
      <c r="F21" s="4" t="s">
        <v>155</v>
      </c>
      <c r="G21" s="21">
        <v>42132</v>
      </c>
      <c r="H21" s="4">
        <v>0.68989999999999996</v>
      </c>
    </row>
    <row r="22" spans="4:8" x14ac:dyDescent="0.25">
      <c r="D22" s="4" t="s">
        <v>5</v>
      </c>
      <c r="E22" s="20">
        <v>3012670</v>
      </c>
      <c r="F22" s="4" t="s">
        <v>152</v>
      </c>
      <c r="G22" s="21">
        <v>42047</v>
      </c>
      <c r="H22" s="4">
        <v>0.74819598139329802</v>
      </c>
    </row>
    <row r="23" spans="4:8" x14ac:dyDescent="0.25">
      <c r="D23" s="4" t="s">
        <v>3</v>
      </c>
      <c r="E23" s="20">
        <v>3015908</v>
      </c>
      <c r="F23" s="4" t="s">
        <v>153</v>
      </c>
      <c r="G23" s="21">
        <v>42135</v>
      </c>
      <c r="H23" s="4">
        <v>0.76568000000000003</v>
      </c>
    </row>
    <row r="24" spans="4:8" x14ac:dyDescent="0.25"/>
    <row r="25" spans="4:8" x14ac:dyDescent="0.25"/>
    <row r="26" spans="4:8" x14ac:dyDescent="0.25"/>
  </sheetData>
  <mergeCells count="4">
    <mergeCell ref="B5:J5"/>
    <mergeCell ref="D2:H3"/>
    <mergeCell ref="D9:H9"/>
    <mergeCell ref="B6:J7"/>
  </mergeCells>
  <conditionalFormatting sqref="D11:H23">
    <cfRule type="expression" dxfId="0" priority="1">
      <formula>OR(AND($D11="Jacob",H11&gt;=80%),AND($D11="John",H11&gt;=80%))</formula>
    </cfRule>
  </conditionalFormatting>
  <hyperlinks>
    <hyperlink ref="I2" location="'Q2'!A1" tooltip="Q2" display="NEXT"/>
    <hyperlink ref="B2" location="Home!A1" tooltip="Home" display="HOME"/>
  </hyperlink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rgb="FF00B050"/>
  </sheetPr>
  <dimension ref="A1:K30"/>
  <sheetViews>
    <sheetView showGridLines="0" showRowColHeaders="0" workbookViewId="0"/>
  </sheetViews>
  <sheetFormatPr defaultColWidth="0" defaultRowHeight="15" customHeight="1" zeroHeight="1" x14ac:dyDescent="0.25"/>
  <cols>
    <col min="1" max="1" width="4" bestFit="1" customWidth="1"/>
    <col min="2" max="5" width="9.140625" customWidth="1"/>
    <col min="6" max="6" width="10.7109375" customWidth="1"/>
    <col min="7" max="7" width="8" customWidth="1"/>
    <col min="8" max="9" width="10.7109375" customWidth="1"/>
    <col min="10" max="10" width="9.140625" customWidth="1"/>
    <col min="11" max="11" width="4" bestFit="1" customWidth="1"/>
    <col min="12" max="16384" width="9.140625" hidden="1"/>
  </cols>
  <sheetData>
    <row r="1" spans="2:10" x14ac:dyDescent="0.25"/>
    <row r="2" spans="2:10" x14ac:dyDescent="0.25">
      <c r="B2" s="31" t="s">
        <v>166</v>
      </c>
      <c r="D2" s="52" t="s">
        <v>14</v>
      </c>
      <c r="E2" s="52"/>
      <c r="F2" s="52"/>
      <c r="G2" s="52"/>
      <c r="H2" s="52"/>
      <c r="J2" s="31" t="s">
        <v>165</v>
      </c>
    </row>
    <row r="3" spans="2:10" x14ac:dyDescent="0.25">
      <c r="D3" s="52"/>
      <c r="E3" s="52"/>
      <c r="F3" s="52"/>
      <c r="G3" s="52"/>
      <c r="H3" s="52"/>
    </row>
    <row r="4" spans="2:10" x14ac:dyDescent="0.25"/>
    <row r="5" spans="2:10" x14ac:dyDescent="0.25">
      <c r="B5" s="49" t="s">
        <v>142</v>
      </c>
      <c r="C5" s="50"/>
      <c r="D5" s="50"/>
      <c r="E5" s="50"/>
      <c r="F5" s="50"/>
      <c r="G5" s="50"/>
      <c r="H5" s="50"/>
      <c r="I5" s="50"/>
      <c r="J5" s="51"/>
    </row>
    <row r="6" spans="2:10" x14ac:dyDescent="0.25">
      <c r="B6" s="59"/>
      <c r="C6" s="60"/>
      <c r="D6" s="60"/>
      <c r="E6" s="60"/>
      <c r="F6" s="60"/>
      <c r="G6" s="60"/>
      <c r="H6" s="60"/>
      <c r="I6" s="60"/>
      <c r="J6" s="61"/>
    </row>
    <row r="7" spans="2:10" x14ac:dyDescent="0.25"/>
    <row r="8" spans="2:10" x14ac:dyDescent="0.25">
      <c r="C8" s="3" t="s">
        <v>0</v>
      </c>
      <c r="D8" s="3" t="s">
        <v>1</v>
      </c>
    </row>
    <row r="9" spans="2:10" x14ac:dyDescent="0.25">
      <c r="C9" s="8">
        <v>3002777</v>
      </c>
      <c r="D9" s="5" t="s">
        <v>6</v>
      </c>
    </row>
    <row r="10" spans="2:10" x14ac:dyDescent="0.25">
      <c r="C10" s="8">
        <v>3009318</v>
      </c>
      <c r="D10" s="5" t="s">
        <v>3</v>
      </c>
    </row>
    <row r="11" spans="2:10" x14ac:dyDescent="0.25">
      <c r="C11" s="8">
        <v>3003890</v>
      </c>
      <c r="D11" s="5" t="s">
        <v>4</v>
      </c>
      <c r="G11" s="3" t="s">
        <v>1</v>
      </c>
      <c r="H11" s="3" t="s">
        <v>33</v>
      </c>
    </row>
    <row r="12" spans="2:10" x14ac:dyDescent="0.25">
      <c r="C12" s="8">
        <v>3005187</v>
      </c>
      <c r="D12" s="5" t="s">
        <v>7</v>
      </c>
      <c r="G12" s="5" t="s">
        <v>137</v>
      </c>
      <c r="H12" s="5" t="s">
        <v>140</v>
      </c>
    </row>
    <row r="13" spans="2:10" x14ac:dyDescent="0.25">
      <c r="C13" s="16">
        <v>3020338</v>
      </c>
      <c r="D13" s="17" t="s">
        <v>137</v>
      </c>
      <c r="G13" s="5" t="s">
        <v>7</v>
      </c>
      <c r="H13" s="5" t="s">
        <v>139</v>
      </c>
    </row>
    <row r="14" spans="2:10" x14ac:dyDescent="0.25">
      <c r="C14" s="16">
        <v>3006123</v>
      </c>
      <c r="D14" s="17" t="s">
        <v>138</v>
      </c>
      <c r="G14" s="5" t="s">
        <v>3</v>
      </c>
      <c r="H14" s="5" t="s">
        <v>124</v>
      </c>
    </row>
    <row r="15" spans="2:10" x14ac:dyDescent="0.25">
      <c r="G15" s="5" t="s">
        <v>138</v>
      </c>
      <c r="H15" s="5" t="s">
        <v>141</v>
      </c>
    </row>
    <row r="16" spans="2:10" x14ac:dyDescent="0.25">
      <c r="G16" s="17" t="s">
        <v>4</v>
      </c>
      <c r="H16" s="17" t="s">
        <v>126</v>
      </c>
    </row>
    <row r="17" spans="1:11" x14ac:dyDescent="0.25">
      <c r="G17" s="17" t="s">
        <v>6</v>
      </c>
      <c r="H17" s="17" t="s">
        <v>127</v>
      </c>
    </row>
    <row r="18" spans="1:11" x14ac:dyDescent="0.25"/>
    <row r="19" spans="1:11" x14ac:dyDescent="0.25">
      <c r="A19" s="22"/>
      <c r="B19" s="22"/>
      <c r="C19" s="22"/>
      <c r="D19" s="22"/>
      <c r="E19" s="22"/>
      <c r="F19" s="22"/>
      <c r="G19" s="22"/>
      <c r="H19" s="22"/>
      <c r="I19" s="22"/>
      <c r="J19" s="22"/>
      <c r="K19" s="22"/>
    </row>
    <row r="20" spans="1:11" x14ac:dyDescent="0.25">
      <c r="E20" s="2" t="s">
        <v>0</v>
      </c>
      <c r="F20" s="2" t="s">
        <v>33</v>
      </c>
    </row>
    <row r="21" spans="1:11" x14ac:dyDescent="0.25">
      <c r="E21" s="8">
        <v>3003890</v>
      </c>
      <c r="F21" s="5" t="str">
        <f>VLOOKUP(VLOOKUP($E21,$C$9:$D$14,2,0),$G$12:$H$17,2,0)</f>
        <v>Beachbody</v>
      </c>
    </row>
    <row r="22" spans="1:11" x14ac:dyDescent="0.25">
      <c r="E22" s="16">
        <v>3006123</v>
      </c>
      <c r="F22" s="5" t="str">
        <f t="shared" ref="F22:F26" si="0">VLOOKUP(VLOOKUP($E22,$C$9:$D$14,2,0),$G$12:$H$17,2,0)</f>
        <v>Quality</v>
      </c>
    </row>
    <row r="23" spans="1:11" x14ac:dyDescent="0.25">
      <c r="E23" s="8">
        <v>3005187</v>
      </c>
      <c r="F23" s="5" t="str">
        <f t="shared" si="0"/>
        <v>O2</v>
      </c>
    </row>
    <row r="24" spans="1:11" x14ac:dyDescent="0.25">
      <c r="E24" s="8">
        <v>3002777</v>
      </c>
      <c r="F24" s="5" t="str">
        <f t="shared" si="0"/>
        <v>Amex DRN</v>
      </c>
    </row>
    <row r="25" spans="1:11" x14ac:dyDescent="0.25">
      <c r="E25" s="8">
        <v>3009318</v>
      </c>
      <c r="F25" s="5" t="str">
        <f t="shared" si="0"/>
        <v>Vodafone</v>
      </c>
    </row>
    <row r="26" spans="1:11" x14ac:dyDescent="0.25">
      <c r="E26" s="16">
        <v>3020338</v>
      </c>
      <c r="F26" s="5" t="str">
        <f t="shared" si="0"/>
        <v>Training</v>
      </c>
    </row>
    <row r="27" spans="1:11" x14ac:dyDescent="0.25"/>
    <row r="28" spans="1:11" x14ac:dyDescent="0.25"/>
    <row r="29" spans="1:11" x14ac:dyDescent="0.25"/>
    <row r="30" spans="1:11" hidden="1" x14ac:dyDescent="0.25"/>
  </sheetData>
  <sheetProtection password="CE28" sheet="1" objects="1" scenarios="1"/>
  <mergeCells count="3">
    <mergeCell ref="D2:H3"/>
    <mergeCell ref="B5:J5"/>
    <mergeCell ref="B6:J6"/>
  </mergeCells>
  <hyperlinks>
    <hyperlink ref="J2" location="'Q3'!A1" tooltip="Q3" display="NEXT"/>
    <hyperlink ref="B2" location="'Q1'!A1" tooltip="Q1" display="BACK"/>
  </hyperlink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K24"/>
  <sheetViews>
    <sheetView showGridLines="0" showRowColHeaders="0" workbookViewId="0"/>
  </sheetViews>
  <sheetFormatPr defaultColWidth="0" defaultRowHeight="15" zeroHeight="1" x14ac:dyDescent="0.25"/>
  <cols>
    <col min="1" max="1" width="4" bestFit="1" customWidth="1"/>
    <col min="2" max="2" width="9.140625" customWidth="1"/>
    <col min="3" max="4" width="21.140625" customWidth="1"/>
    <col min="5" max="10" width="9.140625" customWidth="1"/>
    <col min="11" max="11" width="4" bestFit="1" customWidth="1"/>
    <col min="12" max="16384" width="9.140625" hidden="1"/>
  </cols>
  <sheetData>
    <row r="1" spans="2:10" x14ac:dyDescent="0.25"/>
    <row r="2" spans="2:10" x14ac:dyDescent="0.25">
      <c r="B2" s="31" t="s">
        <v>166</v>
      </c>
      <c r="D2" s="52" t="s">
        <v>15</v>
      </c>
      <c r="E2" s="52"/>
      <c r="F2" s="52"/>
      <c r="G2" s="52"/>
      <c r="H2" s="52"/>
      <c r="J2" s="31" t="s">
        <v>165</v>
      </c>
    </row>
    <row r="3" spans="2:10" x14ac:dyDescent="0.25">
      <c r="D3" s="52"/>
      <c r="E3" s="52"/>
      <c r="F3" s="52"/>
      <c r="G3" s="52"/>
      <c r="H3" s="52"/>
    </row>
    <row r="4" spans="2:10" x14ac:dyDescent="0.25"/>
    <row r="5" spans="2:10" x14ac:dyDescent="0.25">
      <c r="B5" s="49" t="s">
        <v>182</v>
      </c>
      <c r="C5" s="50"/>
      <c r="D5" s="50"/>
      <c r="E5" s="50"/>
      <c r="F5" s="50"/>
      <c r="G5" s="50"/>
      <c r="H5" s="50"/>
      <c r="I5" s="50"/>
      <c r="J5" s="51"/>
    </row>
    <row r="6" spans="2:10" x14ac:dyDescent="0.25">
      <c r="B6" s="59" t="s">
        <v>183</v>
      </c>
      <c r="C6" s="60"/>
      <c r="D6" s="60"/>
      <c r="E6" s="60"/>
      <c r="F6" s="60"/>
      <c r="G6" s="60"/>
      <c r="H6" s="60"/>
      <c r="I6" s="60"/>
      <c r="J6" s="61"/>
    </row>
    <row r="7" spans="2:10" x14ac:dyDescent="0.25"/>
    <row r="8" spans="2:10" x14ac:dyDescent="0.25"/>
    <row r="9" spans="2:10" x14ac:dyDescent="0.25">
      <c r="C9" s="42" t="s">
        <v>1</v>
      </c>
      <c r="D9" s="42" t="s">
        <v>187</v>
      </c>
    </row>
    <row r="10" spans="2:10" x14ac:dyDescent="0.25">
      <c r="C10" s="36" t="s">
        <v>175</v>
      </c>
      <c r="D10" s="35" t="str">
        <f>CONCATENATE(RIGHT(C10,LEN(C10)-FIND(" ",C10,1))," ",LEFT(C10,FIND(" ",C10,1)))</f>
        <v xml:space="preserve">Gupta Vikas </v>
      </c>
    </row>
    <row r="11" spans="2:10" x14ac:dyDescent="0.25">
      <c r="C11" s="36" t="s">
        <v>176</v>
      </c>
      <c r="D11" s="35" t="str">
        <f t="shared" ref="D11:D15" si="0">CONCATENATE(RIGHT(C11,LEN(C11)-FIND(" ",C11,1))," ",LEFT(C11,FIND(" ",C11,1)))</f>
        <v xml:space="preserve">Panwar Manish </v>
      </c>
    </row>
    <row r="12" spans="2:10" x14ac:dyDescent="0.25">
      <c r="C12" s="36" t="s">
        <v>177</v>
      </c>
      <c r="D12" s="35" t="str">
        <f t="shared" si="0"/>
        <v xml:space="preserve">Om Hari </v>
      </c>
    </row>
    <row r="13" spans="2:10" x14ac:dyDescent="0.25">
      <c r="C13" s="36" t="s">
        <v>178</v>
      </c>
      <c r="D13" s="35" t="str">
        <f t="shared" si="0"/>
        <v xml:space="preserve">Chawla Deepak </v>
      </c>
    </row>
    <row r="14" spans="2:10" x14ac:dyDescent="0.25">
      <c r="C14" s="36" t="s">
        <v>179</v>
      </c>
      <c r="D14" s="35" t="str">
        <f t="shared" si="0"/>
        <v xml:space="preserve">Sharma Sanjay </v>
      </c>
    </row>
    <row r="15" spans="2:10" x14ac:dyDescent="0.25">
      <c r="C15" s="36" t="s">
        <v>180</v>
      </c>
      <c r="D15" s="35" t="str">
        <f t="shared" si="0"/>
        <v xml:space="preserve">Singh Harshwardhan </v>
      </c>
    </row>
    <row r="16" spans="2:10" x14ac:dyDescent="0.25"/>
    <row r="17" spans="2:5" x14ac:dyDescent="0.25">
      <c r="B17" s="40" t="s">
        <v>186</v>
      </c>
      <c r="C17" s="41" t="s">
        <v>185</v>
      </c>
      <c r="D17" s="40" t="s">
        <v>184</v>
      </c>
      <c r="E17" s="39"/>
    </row>
    <row r="18" spans="2:5" x14ac:dyDescent="0.25"/>
    <row r="19" spans="2:5" x14ac:dyDescent="0.25"/>
    <row r="20" spans="2:5" x14ac:dyDescent="0.25"/>
    <row r="21" spans="2:5" x14ac:dyDescent="0.25"/>
    <row r="22" spans="2:5" x14ac:dyDescent="0.25"/>
    <row r="23" spans="2:5" hidden="1" x14ac:dyDescent="0.25"/>
    <row r="24" spans="2:5" hidden="1" x14ac:dyDescent="0.25"/>
  </sheetData>
  <mergeCells count="3">
    <mergeCell ref="B5:J5"/>
    <mergeCell ref="B6:J6"/>
    <mergeCell ref="D2:H3"/>
  </mergeCells>
  <hyperlinks>
    <hyperlink ref="J2" location="'Q4'!A1" tooltip="Q4" display="NEXT"/>
    <hyperlink ref="B2" location="'Q2'!A1" tooltip="Q2" display="BACK"/>
  </hyperlink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rgb="FF00B050"/>
  </sheetPr>
  <dimension ref="A1:L26"/>
  <sheetViews>
    <sheetView showGridLines="0" showRowColHeaders="0" workbookViewId="0"/>
  </sheetViews>
  <sheetFormatPr defaultColWidth="0" defaultRowHeight="15" zeroHeight="1" x14ac:dyDescent="0.25"/>
  <cols>
    <col min="1" max="1" width="4" bestFit="1" customWidth="1"/>
    <col min="2" max="2" width="9.140625" customWidth="1"/>
    <col min="3" max="3" width="14.85546875" bestFit="1" customWidth="1"/>
    <col min="4" max="4" width="9.140625" bestFit="1" customWidth="1"/>
    <col min="5" max="5" width="7.42578125" customWidth="1"/>
    <col min="6" max="6" width="10.7109375" customWidth="1"/>
    <col min="7" max="7" width="10.42578125" customWidth="1"/>
    <col min="8" max="8" width="9.85546875" customWidth="1"/>
    <col min="9" max="9" width="19.28515625" customWidth="1"/>
    <col min="10" max="10" width="9.140625" customWidth="1"/>
    <col min="11" max="11" width="4" bestFit="1" customWidth="1"/>
    <col min="12" max="12" width="9.140625" customWidth="1"/>
    <col min="13" max="16384" width="9.140625" hidden="1"/>
  </cols>
  <sheetData>
    <row r="1" spans="2:12" x14ac:dyDescent="0.25"/>
    <row r="2" spans="2:12" ht="15" customHeight="1" x14ac:dyDescent="0.25">
      <c r="B2" s="31" t="s">
        <v>166</v>
      </c>
      <c r="C2" s="52" t="s">
        <v>16</v>
      </c>
      <c r="D2" s="52"/>
      <c r="E2" s="52"/>
      <c r="F2" s="52"/>
      <c r="G2" s="52"/>
      <c r="H2" s="52"/>
      <c r="I2" s="52"/>
      <c r="J2" s="31" t="s">
        <v>165</v>
      </c>
    </row>
    <row r="3" spans="2:12" ht="15" customHeight="1" x14ac:dyDescent="0.25">
      <c r="C3" s="52"/>
      <c r="D3" s="52"/>
      <c r="E3" s="52"/>
      <c r="F3" s="52"/>
      <c r="G3" s="52"/>
      <c r="H3" s="52"/>
      <c r="I3" s="52"/>
    </row>
    <row r="4" spans="2:12" x14ac:dyDescent="0.25"/>
    <row r="5" spans="2:12" x14ac:dyDescent="0.25">
      <c r="B5" s="65" t="s">
        <v>144</v>
      </c>
      <c r="C5" s="66"/>
      <c r="D5" s="66"/>
      <c r="E5" s="66"/>
      <c r="F5" s="66"/>
      <c r="G5" s="66"/>
      <c r="H5" s="66"/>
      <c r="I5" s="66"/>
      <c r="J5" s="66"/>
      <c r="K5" s="66"/>
      <c r="L5" s="66"/>
    </row>
    <row r="6" spans="2:12" x14ac:dyDescent="0.25">
      <c r="B6" s="62"/>
      <c r="C6" s="63"/>
      <c r="D6" s="63"/>
      <c r="E6" s="63"/>
      <c r="F6" s="63"/>
      <c r="G6" s="63"/>
      <c r="H6" s="63"/>
      <c r="I6" s="63"/>
      <c r="J6" s="64"/>
    </row>
    <row r="7" spans="2:12" x14ac:dyDescent="0.25"/>
    <row r="8" spans="2:12" x14ac:dyDescent="0.25">
      <c r="C8" s="19" t="s">
        <v>136</v>
      </c>
      <c r="D8" s="2" t="s">
        <v>124</v>
      </c>
      <c r="E8" s="2" t="s">
        <v>125</v>
      </c>
      <c r="F8" s="2" t="s">
        <v>126</v>
      </c>
      <c r="G8" s="2" t="s">
        <v>127</v>
      </c>
      <c r="H8" s="12" t="s">
        <v>128</v>
      </c>
      <c r="I8" s="15" t="s">
        <v>143</v>
      </c>
    </row>
    <row r="9" spans="2:12" x14ac:dyDescent="0.25">
      <c r="C9" s="1" t="s">
        <v>129</v>
      </c>
      <c r="D9" s="14">
        <v>0.71119253903609925</v>
      </c>
      <c r="E9" s="14">
        <v>0.97879056673919629</v>
      </c>
      <c r="F9" s="14">
        <v>0.84864422648523274</v>
      </c>
      <c r="G9" s="14">
        <v>0.89</v>
      </c>
      <c r="H9" s="14">
        <v>0.98005920346816822</v>
      </c>
      <c r="I9" s="28" t="str">
        <f>IF(OR(AND(D9&gt;=80%,E9&gt;=80%,F9&gt;=80%,G9&gt;=80%),AND(E9&gt;=80%,F9&gt;=80%,G9&gt;=80%,H9&gt;=80%),AND(F9&gt;=80%,G9&gt;=80%,H9&gt;=80%,D9&gt;=80%),AND(G9&gt;=80%,H9&gt;=80%,D9&gt;=80%,E9&gt;=80%),AND(H9&gt;=80%,D9&gt;=80%,E9&gt;=80%,F9&gt;=80%)),"Good","Bad")</f>
        <v>Good</v>
      </c>
    </row>
    <row r="10" spans="2:12" x14ac:dyDescent="0.25">
      <c r="C10" s="1" t="s">
        <v>130</v>
      </c>
      <c r="D10" s="14">
        <v>0.68284645026027702</v>
      </c>
      <c r="E10" s="14">
        <v>0.84353216105314099</v>
      </c>
      <c r="F10" s="14">
        <v>0.33327487567699288</v>
      </c>
      <c r="G10" s="14">
        <v>0.47587810125335628</v>
      </c>
      <c r="H10" s="14">
        <v>0.3106181187996282</v>
      </c>
      <c r="I10" s="28" t="str">
        <f t="shared" ref="I10:I15" si="0">IF(OR(AND(D10&gt;=80%,E10&gt;=80%,F10&gt;=80%,G10&gt;=80%),AND(E10&gt;=80%,F10&gt;=80%,G10&gt;=80%,H10&gt;=80%),AND(F10&gt;=80%,G10&gt;=80%,H10&gt;=80%,D10&gt;=80%),AND(G10&gt;=80%,H10&gt;=80%,D10&gt;=80%,E10&gt;=80%),AND(H10&gt;=80%,D10&gt;=80%,E10&gt;=80%,F10&gt;=80%)),"Good","Bad")</f>
        <v>Bad</v>
      </c>
    </row>
    <row r="11" spans="2:12" x14ac:dyDescent="0.25">
      <c r="C11" s="1" t="s">
        <v>131</v>
      </c>
      <c r="D11" s="14">
        <v>0.3100322118899379</v>
      </c>
      <c r="E11" s="14">
        <v>0.47556881291375819</v>
      </c>
      <c r="F11" s="14">
        <v>0.37643202044553448</v>
      </c>
      <c r="G11" s="14">
        <v>0.20449109034792123</v>
      </c>
      <c r="H11" s="14">
        <v>0.20028057413846712</v>
      </c>
      <c r="I11" s="28" t="str">
        <f t="shared" si="0"/>
        <v>Bad</v>
      </c>
    </row>
    <row r="12" spans="2:12" x14ac:dyDescent="0.25">
      <c r="C12" s="1" t="s">
        <v>132</v>
      </c>
      <c r="D12" s="14">
        <v>0.8449712289287078</v>
      </c>
      <c r="E12" s="14">
        <v>0.90585795640760314</v>
      </c>
      <c r="F12" s="14">
        <v>0.81</v>
      </c>
      <c r="G12" s="14">
        <v>0.46359310020733868</v>
      </c>
      <c r="H12" s="14">
        <v>0.56000000000000005</v>
      </c>
      <c r="I12" s="28" t="str">
        <f t="shared" si="0"/>
        <v>Bad</v>
      </c>
    </row>
    <row r="13" spans="2:12" x14ac:dyDescent="0.25">
      <c r="C13" s="1" t="s">
        <v>133</v>
      </c>
      <c r="D13" s="14">
        <v>0.93890949653340372</v>
      </c>
      <c r="E13" s="14">
        <v>0.56000000000000005</v>
      </c>
      <c r="F13" s="14">
        <v>0.98243098218864067</v>
      </c>
      <c r="G13" s="14">
        <v>0.81</v>
      </c>
      <c r="H13" s="14">
        <v>0.98</v>
      </c>
      <c r="I13" s="28" t="str">
        <f t="shared" si="0"/>
        <v>Good</v>
      </c>
    </row>
    <row r="14" spans="2:12" x14ac:dyDescent="0.25">
      <c r="C14" s="1" t="s">
        <v>134</v>
      </c>
      <c r="D14" s="14">
        <v>0.57206287695947455</v>
      </c>
      <c r="E14" s="14">
        <v>0.12896262610855103</v>
      </c>
      <c r="F14" s="14">
        <v>0.211554480022624</v>
      </c>
      <c r="G14" s="14">
        <v>0.82922648477536587</v>
      </c>
      <c r="H14" s="14">
        <v>0.16584968664921196</v>
      </c>
      <c r="I14" s="28" t="str">
        <f t="shared" si="0"/>
        <v>Bad</v>
      </c>
    </row>
    <row r="15" spans="2:12" x14ac:dyDescent="0.25">
      <c r="C15" s="1" t="s">
        <v>135</v>
      </c>
      <c r="D15" s="14">
        <v>0.59014759710559395</v>
      </c>
      <c r="E15" s="14">
        <v>0.85</v>
      </c>
      <c r="F15" s="14">
        <v>0.86430394623935713</v>
      </c>
      <c r="G15" s="14">
        <v>0.8997057925053783</v>
      </c>
      <c r="H15" s="14">
        <v>0.99</v>
      </c>
      <c r="I15" s="28" t="str">
        <f t="shared" si="0"/>
        <v>Good</v>
      </c>
    </row>
    <row r="16" spans="2:12" x14ac:dyDescent="0.25"/>
    <row r="17" x14ac:dyDescent="0.25"/>
    <row r="18" x14ac:dyDescent="0.25"/>
    <row r="19" x14ac:dyDescent="0.25"/>
    <row r="20" x14ac:dyDescent="0.25"/>
    <row r="21" x14ac:dyDescent="0.25"/>
    <row r="22" hidden="1" x14ac:dyDescent="0.25"/>
    <row r="23" hidden="1" x14ac:dyDescent="0.25"/>
    <row r="24" hidden="1" x14ac:dyDescent="0.25"/>
    <row r="25" hidden="1" x14ac:dyDescent="0.25"/>
    <row r="26" hidden="1" x14ac:dyDescent="0.25"/>
  </sheetData>
  <sheetProtection password="CE28" sheet="1" objects="1" scenarios="1"/>
  <mergeCells count="3">
    <mergeCell ref="B6:J6"/>
    <mergeCell ref="C2:I3"/>
    <mergeCell ref="B5:L5"/>
  </mergeCells>
  <hyperlinks>
    <hyperlink ref="J2" location="'Q5'!A1" tooltip="Q5" display="NEXT"/>
    <hyperlink ref="B2" location="'Q3'!A1" tooltip="Q3" display="BACK"/>
  </hyperlink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08"/>
  <sheetViews>
    <sheetView showGridLines="0" workbookViewId="0"/>
  </sheetViews>
  <sheetFormatPr defaultColWidth="0" defaultRowHeight="15" zeroHeight="1" x14ac:dyDescent="0.25"/>
  <cols>
    <col min="1" max="1" width="4" bestFit="1" customWidth="1"/>
    <col min="2" max="2" width="12.140625" customWidth="1"/>
    <col min="3" max="3" width="7.5703125" customWidth="1"/>
    <col min="4" max="5" width="13.85546875" customWidth="1"/>
    <col min="6" max="6" width="12.28515625" bestFit="1" customWidth="1"/>
    <col min="7" max="7" width="10.7109375" customWidth="1"/>
    <col min="8" max="8" width="8" customWidth="1"/>
    <col min="9" max="9" width="8.28515625" customWidth="1"/>
    <col min="10" max="10" width="9.140625" customWidth="1"/>
    <col min="11" max="11" width="4" bestFit="1" customWidth="1"/>
    <col min="12" max="16384" width="9.140625" hidden="1"/>
  </cols>
  <sheetData>
    <row r="1" spans="2:10" x14ac:dyDescent="0.25"/>
    <row r="2" spans="2:10" ht="15" customHeight="1" x14ac:dyDescent="0.25">
      <c r="B2" s="31" t="s">
        <v>166</v>
      </c>
      <c r="C2" s="52" t="s">
        <v>18</v>
      </c>
      <c r="D2" s="52"/>
      <c r="E2" s="52"/>
      <c r="F2" s="52"/>
      <c r="G2" s="52"/>
      <c r="H2" s="52"/>
      <c r="I2" s="52"/>
      <c r="J2" s="31" t="s">
        <v>165</v>
      </c>
    </row>
    <row r="3" spans="2:10" ht="15" customHeight="1" x14ac:dyDescent="0.25">
      <c r="C3" s="52"/>
      <c r="D3" s="52"/>
      <c r="E3" s="52"/>
      <c r="F3" s="52"/>
      <c r="G3" s="52"/>
      <c r="H3" s="52"/>
      <c r="I3" s="52"/>
    </row>
    <row r="4" spans="2:10" x14ac:dyDescent="0.25"/>
    <row r="5" spans="2:10" x14ac:dyDescent="0.25">
      <c r="B5" s="67" t="s">
        <v>123</v>
      </c>
      <c r="C5" s="67"/>
      <c r="D5" s="67"/>
      <c r="E5" s="67"/>
      <c r="F5" s="67"/>
      <c r="G5" s="67"/>
      <c r="H5" s="67"/>
      <c r="I5" s="67"/>
      <c r="J5" s="67"/>
    </row>
    <row r="6" spans="2:10" x14ac:dyDescent="0.25">
      <c r="B6" s="68" t="s">
        <v>164</v>
      </c>
      <c r="C6" s="69"/>
      <c r="D6" s="69"/>
      <c r="E6" s="69"/>
      <c r="F6" s="69"/>
      <c r="G6" s="69"/>
      <c r="H6" s="69"/>
      <c r="I6" s="69"/>
      <c r="J6" s="70"/>
    </row>
    <row r="7" spans="2:10" x14ac:dyDescent="0.25"/>
    <row r="8" spans="2:10" x14ac:dyDescent="0.25">
      <c r="B8" s="2" t="s">
        <v>0</v>
      </c>
      <c r="C8" s="2" t="s">
        <v>1</v>
      </c>
      <c r="D8" s="2" t="s">
        <v>28</v>
      </c>
      <c r="E8" s="2" t="s">
        <v>26</v>
      </c>
      <c r="F8" s="2" t="s">
        <v>27</v>
      </c>
      <c r="G8" s="12" t="s">
        <v>17</v>
      </c>
    </row>
    <row r="9" spans="2:10" x14ac:dyDescent="0.25">
      <c r="B9" s="1">
        <v>3001111</v>
      </c>
      <c r="C9" s="1" t="s">
        <v>6</v>
      </c>
      <c r="D9" s="1" t="s">
        <v>29</v>
      </c>
      <c r="E9" s="1">
        <v>18</v>
      </c>
      <c r="F9" s="1">
        <v>90</v>
      </c>
      <c r="G9" s="18">
        <v>42009</v>
      </c>
      <c r="I9" s="48" t="s">
        <v>194</v>
      </c>
    </row>
    <row r="10" spans="2:10" x14ac:dyDescent="0.25">
      <c r="B10" s="1">
        <v>3001859</v>
      </c>
      <c r="C10" s="1" t="s">
        <v>3</v>
      </c>
      <c r="D10" s="1" t="s">
        <v>29</v>
      </c>
      <c r="E10" s="1">
        <v>77</v>
      </c>
      <c r="F10" s="1">
        <v>90</v>
      </c>
      <c r="G10" s="18">
        <v>42035</v>
      </c>
      <c r="I10" s="48" t="s">
        <v>195</v>
      </c>
    </row>
    <row r="11" spans="2:10" x14ac:dyDescent="0.25">
      <c r="B11" s="1">
        <v>3002777</v>
      </c>
      <c r="C11" s="1" t="s">
        <v>4</v>
      </c>
      <c r="D11" s="1" t="s">
        <v>30</v>
      </c>
      <c r="E11" s="1">
        <v>36</v>
      </c>
      <c r="F11" s="1">
        <v>90</v>
      </c>
      <c r="G11" s="18">
        <v>42044</v>
      </c>
      <c r="I11" s="48" t="s">
        <v>196</v>
      </c>
    </row>
    <row r="12" spans="2:10" x14ac:dyDescent="0.25">
      <c r="B12" s="1">
        <v>3003890</v>
      </c>
      <c r="C12" s="1" t="s">
        <v>7</v>
      </c>
      <c r="D12" s="1" t="s">
        <v>29</v>
      </c>
      <c r="E12" s="1">
        <v>63</v>
      </c>
      <c r="F12" s="1">
        <v>90</v>
      </c>
      <c r="G12" s="18">
        <v>42067</v>
      </c>
    </row>
    <row r="13" spans="2:10" x14ac:dyDescent="0.25">
      <c r="B13" s="1">
        <v>3005187</v>
      </c>
      <c r="C13" s="1" t="s">
        <v>5</v>
      </c>
      <c r="D13" s="1" t="s">
        <v>30</v>
      </c>
      <c r="E13" s="1">
        <v>89</v>
      </c>
      <c r="F13" s="1">
        <v>90</v>
      </c>
      <c r="G13" s="18">
        <v>42074</v>
      </c>
    </row>
    <row r="14" spans="2:10" x14ac:dyDescent="0.25">
      <c r="B14" s="1">
        <v>3006669</v>
      </c>
      <c r="C14" s="1" t="s">
        <v>9</v>
      </c>
      <c r="D14" s="1" t="s">
        <v>30</v>
      </c>
      <c r="E14" s="1">
        <v>30</v>
      </c>
      <c r="F14" s="1">
        <v>90</v>
      </c>
      <c r="G14" s="18">
        <v>42093</v>
      </c>
    </row>
    <row r="15" spans="2:10" x14ac:dyDescent="0.25">
      <c r="B15" s="1">
        <v>3008334</v>
      </c>
      <c r="C15" s="1" t="s">
        <v>10</v>
      </c>
      <c r="D15" s="1" t="s">
        <v>29</v>
      </c>
      <c r="E15" s="1">
        <v>13</v>
      </c>
      <c r="F15" s="1">
        <v>90</v>
      </c>
      <c r="G15" s="18">
        <v>42116</v>
      </c>
    </row>
    <row r="16" spans="2:10" x14ac:dyDescent="0.25">
      <c r="B16" s="1">
        <v>3009318</v>
      </c>
      <c r="C16" s="1" t="s">
        <v>2</v>
      </c>
      <c r="D16" s="1" t="s">
        <v>30</v>
      </c>
      <c r="E16" s="1">
        <v>39</v>
      </c>
      <c r="F16" s="1">
        <v>90</v>
      </c>
      <c r="G16" s="18">
        <v>42142</v>
      </c>
    </row>
    <row r="17" spans="2:7" x14ac:dyDescent="0.25">
      <c r="B17" s="1">
        <v>3009664</v>
      </c>
      <c r="C17" s="1" t="s">
        <v>8</v>
      </c>
      <c r="D17" s="1" t="s">
        <v>29</v>
      </c>
      <c r="E17" s="1">
        <v>90</v>
      </c>
      <c r="F17" s="1">
        <v>90</v>
      </c>
      <c r="G17" s="18">
        <v>42158</v>
      </c>
    </row>
    <row r="18" spans="2:7" x14ac:dyDescent="0.25">
      <c r="B18" s="1" t="s">
        <v>101</v>
      </c>
      <c r="C18" s="1" t="s">
        <v>95</v>
      </c>
      <c r="D18" s="1" t="s">
        <v>30</v>
      </c>
      <c r="E18" s="1">
        <v>65</v>
      </c>
      <c r="F18" s="1">
        <v>90</v>
      </c>
      <c r="G18" s="18">
        <v>42168</v>
      </c>
    </row>
    <row r="19" spans="2:7" x14ac:dyDescent="0.25">
      <c r="B19" s="1" t="s">
        <v>102</v>
      </c>
      <c r="C19" s="1" t="s">
        <v>96</v>
      </c>
      <c r="D19" s="1" t="s">
        <v>29</v>
      </c>
      <c r="E19" s="1">
        <v>68</v>
      </c>
      <c r="F19" s="1">
        <v>90</v>
      </c>
      <c r="G19" s="18">
        <v>42180</v>
      </c>
    </row>
    <row r="20" spans="2:7" x14ac:dyDescent="0.25">
      <c r="B20" s="1" t="s">
        <v>103</v>
      </c>
      <c r="C20" s="1" t="s">
        <v>97</v>
      </c>
      <c r="D20" s="1" t="s">
        <v>30</v>
      </c>
      <c r="E20" s="1">
        <v>85</v>
      </c>
      <c r="F20" s="1">
        <v>90</v>
      </c>
      <c r="G20" s="18">
        <v>42193</v>
      </c>
    </row>
    <row r="21" spans="2:7" x14ac:dyDescent="0.25">
      <c r="B21" s="1" t="s">
        <v>104</v>
      </c>
      <c r="C21" s="1" t="s">
        <v>98</v>
      </c>
      <c r="D21" s="1" t="s">
        <v>30</v>
      </c>
      <c r="E21" s="1">
        <v>81</v>
      </c>
      <c r="F21" s="1">
        <v>90</v>
      </c>
      <c r="G21" s="18">
        <v>42196</v>
      </c>
    </row>
    <row r="22" spans="2:7" x14ac:dyDescent="0.25">
      <c r="B22" s="1" t="s">
        <v>105</v>
      </c>
      <c r="C22" s="1" t="s">
        <v>99</v>
      </c>
      <c r="D22" s="1" t="s">
        <v>29</v>
      </c>
      <c r="E22" s="1">
        <v>86</v>
      </c>
      <c r="F22" s="1">
        <v>90</v>
      </c>
      <c r="G22" s="18">
        <v>42210</v>
      </c>
    </row>
    <row r="23" spans="2:7" x14ac:dyDescent="0.25">
      <c r="B23" s="1" t="s">
        <v>106</v>
      </c>
      <c r="C23" s="1" t="s">
        <v>100</v>
      </c>
      <c r="D23" s="1" t="s">
        <v>30</v>
      </c>
      <c r="E23" s="1">
        <v>45</v>
      </c>
      <c r="F23" s="1">
        <v>90</v>
      </c>
      <c r="G23" s="18">
        <v>42238</v>
      </c>
    </row>
    <row r="24" spans="2:7" x14ac:dyDescent="0.25">
      <c r="B24" s="1" t="s">
        <v>107</v>
      </c>
      <c r="C24" s="1" t="s">
        <v>108</v>
      </c>
      <c r="D24" s="1" t="s">
        <v>30</v>
      </c>
      <c r="E24" s="1">
        <v>60</v>
      </c>
      <c r="F24" s="1">
        <v>90</v>
      </c>
      <c r="G24" s="18">
        <v>42256</v>
      </c>
    </row>
    <row r="25" spans="2:7" x14ac:dyDescent="0.25">
      <c r="B25" s="1" t="s">
        <v>116</v>
      </c>
      <c r="C25" s="1" t="s">
        <v>109</v>
      </c>
      <c r="D25" s="1" t="s">
        <v>29</v>
      </c>
      <c r="E25" s="1">
        <f ca="1">RANDBETWEEN(10,90)</f>
        <v>74</v>
      </c>
      <c r="F25" s="1">
        <v>90</v>
      </c>
      <c r="G25" s="18">
        <v>42261</v>
      </c>
    </row>
    <row r="26" spans="2:7" x14ac:dyDescent="0.25">
      <c r="B26" s="1" t="s">
        <v>117</v>
      </c>
      <c r="C26" s="1" t="s">
        <v>110</v>
      </c>
      <c r="D26" s="1" t="s">
        <v>29</v>
      </c>
      <c r="E26" s="1">
        <f t="shared" ref="E26:E31" ca="1" si="0">RANDBETWEEN(10,90)</f>
        <v>43</v>
      </c>
      <c r="F26" s="1">
        <v>90</v>
      </c>
      <c r="G26" s="18">
        <v>42289</v>
      </c>
    </row>
    <row r="27" spans="2:7" x14ac:dyDescent="0.25">
      <c r="B27" s="1" t="s">
        <v>118</v>
      </c>
      <c r="C27" s="1" t="s">
        <v>111</v>
      </c>
      <c r="D27" s="1" t="s">
        <v>30</v>
      </c>
      <c r="E27" s="1">
        <f t="shared" ca="1" si="0"/>
        <v>78</v>
      </c>
      <c r="F27" s="1">
        <v>90</v>
      </c>
      <c r="G27" s="18">
        <v>42315</v>
      </c>
    </row>
    <row r="28" spans="2:7" x14ac:dyDescent="0.25">
      <c r="B28" s="1" t="s">
        <v>119</v>
      </c>
      <c r="C28" s="1" t="s">
        <v>112</v>
      </c>
      <c r="D28" s="1" t="s">
        <v>29</v>
      </c>
      <c r="E28" s="1">
        <f t="shared" ca="1" si="0"/>
        <v>86</v>
      </c>
      <c r="F28" s="1">
        <v>90</v>
      </c>
      <c r="G28" s="18">
        <v>42323</v>
      </c>
    </row>
    <row r="29" spans="2:7" x14ac:dyDescent="0.25">
      <c r="B29" s="1" t="s">
        <v>120</v>
      </c>
      <c r="C29" s="1" t="s">
        <v>113</v>
      </c>
      <c r="D29" s="1" t="s">
        <v>29</v>
      </c>
      <c r="E29" s="1">
        <f t="shared" ca="1" si="0"/>
        <v>15</v>
      </c>
      <c r="F29" s="1">
        <v>90</v>
      </c>
      <c r="G29" s="18">
        <v>42348</v>
      </c>
    </row>
    <row r="30" spans="2:7" x14ac:dyDescent="0.25">
      <c r="B30" s="1" t="s">
        <v>121</v>
      </c>
      <c r="C30" s="1" t="s">
        <v>114</v>
      </c>
      <c r="D30" s="1" t="s">
        <v>29</v>
      </c>
      <c r="E30" s="1">
        <f t="shared" ca="1" si="0"/>
        <v>62</v>
      </c>
      <c r="F30" s="1">
        <v>90</v>
      </c>
      <c r="G30" s="18">
        <v>42352</v>
      </c>
    </row>
    <row r="31" spans="2:7" x14ac:dyDescent="0.25">
      <c r="B31" s="1" t="s">
        <v>122</v>
      </c>
      <c r="C31" s="1" t="s">
        <v>115</v>
      </c>
      <c r="D31" s="1" t="s">
        <v>30</v>
      </c>
      <c r="E31" s="1">
        <f t="shared" ca="1" si="0"/>
        <v>14</v>
      </c>
      <c r="F31" s="1">
        <v>90</v>
      </c>
      <c r="G31" s="18">
        <v>42366</v>
      </c>
    </row>
    <row r="32" spans="2:7" x14ac:dyDescent="0.25"/>
    <row r="33" spans="1:11" x14ac:dyDescent="0.25">
      <c r="A33" s="29"/>
      <c r="B33" s="62" t="s">
        <v>31</v>
      </c>
      <c r="C33" s="63"/>
      <c r="D33" s="63"/>
      <c r="E33" s="63"/>
      <c r="F33" s="63"/>
      <c r="G33" s="63"/>
      <c r="H33" s="63"/>
      <c r="I33" s="63"/>
      <c r="J33" s="64"/>
      <c r="K33" s="29"/>
    </row>
    <row r="34" spans="1:11" x14ac:dyDescent="0.25">
      <c r="A34" s="29"/>
      <c r="E34" s="29"/>
      <c r="F34" s="29"/>
      <c r="G34" s="29"/>
      <c r="H34" s="29"/>
      <c r="I34" s="29"/>
      <c r="J34" s="29"/>
      <c r="K34" s="29"/>
    </row>
    <row r="35" spans="1:11" x14ac:dyDescent="0.25">
      <c r="A35" s="29"/>
      <c r="B35" s="10"/>
      <c r="E35" s="29"/>
      <c r="F35" s="29"/>
      <c r="G35" s="29"/>
      <c r="H35" s="29"/>
      <c r="I35" s="29"/>
      <c r="J35" s="29"/>
      <c r="K35" s="29"/>
    </row>
    <row r="36" spans="1:11" x14ac:dyDescent="0.25">
      <c r="A36" s="29"/>
      <c r="E36" s="29"/>
      <c r="F36" s="29"/>
      <c r="G36" s="29"/>
      <c r="H36" s="29"/>
      <c r="I36" s="29"/>
      <c r="J36" s="29"/>
      <c r="K36" s="29"/>
    </row>
    <row r="37" spans="1:11" x14ac:dyDescent="0.25">
      <c r="A37" s="29"/>
      <c r="E37" s="29"/>
      <c r="F37" s="29"/>
      <c r="G37" s="29"/>
      <c r="H37" s="29"/>
      <c r="I37" s="29"/>
      <c r="J37" s="29"/>
      <c r="K37" s="29"/>
    </row>
    <row r="38" spans="1:11" x14ac:dyDescent="0.25">
      <c r="A38" s="29"/>
      <c r="E38" s="29"/>
      <c r="F38" s="29"/>
      <c r="G38" s="29"/>
      <c r="H38" s="29"/>
      <c r="I38" s="29"/>
      <c r="J38" s="29"/>
      <c r="K38" s="29"/>
    </row>
    <row r="39" spans="1:11" x14ac:dyDescent="0.25">
      <c r="A39" s="29"/>
      <c r="E39" s="29"/>
      <c r="F39" s="29"/>
      <c r="G39" s="29"/>
      <c r="H39" s="29"/>
      <c r="I39" s="29"/>
      <c r="J39" s="29"/>
      <c r="K39" s="29"/>
    </row>
    <row r="40" spans="1:11" x14ac:dyDescent="0.25">
      <c r="A40" s="29"/>
      <c r="E40" s="29"/>
      <c r="F40" s="29"/>
      <c r="G40" s="29"/>
      <c r="H40" s="29"/>
      <c r="I40" s="29"/>
      <c r="J40" s="29"/>
      <c r="K40" s="29"/>
    </row>
    <row r="41" spans="1:11" x14ac:dyDescent="0.25">
      <c r="A41" s="29"/>
      <c r="E41" s="29"/>
      <c r="F41" s="29"/>
      <c r="G41" s="29"/>
      <c r="H41" s="29"/>
      <c r="I41" s="29"/>
      <c r="J41" s="29"/>
      <c r="K41" s="29"/>
    </row>
    <row r="42" spans="1:11" x14ac:dyDescent="0.25">
      <c r="A42" s="29"/>
      <c r="E42" s="29"/>
      <c r="F42" s="29"/>
      <c r="G42" s="29"/>
      <c r="H42" s="29"/>
      <c r="I42" s="29"/>
      <c r="J42" s="29"/>
      <c r="K42" s="29"/>
    </row>
    <row r="43" spans="1:11" x14ac:dyDescent="0.25">
      <c r="A43" s="29"/>
      <c r="E43" s="29"/>
      <c r="F43" s="29"/>
      <c r="G43" s="29"/>
      <c r="H43" s="29"/>
      <c r="I43" s="29"/>
      <c r="J43" s="29"/>
      <c r="K43" s="29"/>
    </row>
    <row r="44" spans="1:11" x14ac:dyDescent="0.25">
      <c r="A44" s="29"/>
      <c r="E44" s="29"/>
      <c r="F44" s="29"/>
      <c r="G44" s="29"/>
      <c r="H44" s="29"/>
      <c r="I44" s="29"/>
      <c r="J44" s="29"/>
      <c r="K44" s="29"/>
    </row>
    <row r="45" spans="1:11" x14ac:dyDescent="0.25">
      <c r="A45" s="29"/>
      <c r="E45" s="29"/>
      <c r="F45" s="29"/>
      <c r="G45" s="29"/>
      <c r="H45" s="29"/>
      <c r="I45" s="29"/>
      <c r="J45" s="29"/>
      <c r="K45" s="29"/>
    </row>
    <row r="46" spans="1:11" x14ac:dyDescent="0.25">
      <c r="A46" s="29"/>
      <c r="E46" s="29"/>
      <c r="F46" s="29"/>
      <c r="G46" s="29"/>
      <c r="H46" s="29"/>
      <c r="I46" s="29"/>
      <c r="J46" s="29"/>
      <c r="K46" s="29"/>
    </row>
    <row r="47" spans="1:11" x14ac:dyDescent="0.25">
      <c r="A47" s="29"/>
      <c r="E47" s="29"/>
      <c r="F47" s="29"/>
      <c r="G47" s="29"/>
      <c r="H47" s="29"/>
      <c r="I47" s="29"/>
      <c r="J47" s="29"/>
      <c r="K47" s="29"/>
    </row>
    <row r="48" spans="1:11" x14ac:dyDescent="0.25">
      <c r="A48" s="29"/>
      <c r="E48" s="29"/>
      <c r="F48" s="29"/>
      <c r="G48" s="29"/>
      <c r="H48" s="29"/>
      <c r="I48" s="29"/>
      <c r="J48" s="29"/>
      <c r="K48" s="29"/>
    </row>
    <row r="49" spans="1:11" x14ac:dyDescent="0.25">
      <c r="A49" s="29"/>
      <c r="E49" s="29"/>
      <c r="F49" s="29"/>
      <c r="G49" s="29"/>
      <c r="H49" s="29"/>
      <c r="I49" s="29"/>
      <c r="J49" s="29"/>
      <c r="K49" s="29"/>
    </row>
    <row r="50" spans="1:11" x14ac:dyDescent="0.25">
      <c r="A50" s="29"/>
      <c r="E50" s="29"/>
      <c r="F50" s="29"/>
      <c r="G50" s="29"/>
      <c r="H50" s="29"/>
      <c r="I50" s="29"/>
      <c r="J50" s="29"/>
      <c r="K50" s="29"/>
    </row>
    <row r="51" spans="1:11" x14ac:dyDescent="0.25">
      <c r="A51" s="29"/>
      <c r="E51" s="29"/>
      <c r="F51" s="29"/>
      <c r="G51" s="29"/>
      <c r="H51" s="29"/>
      <c r="I51" s="29"/>
      <c r="J51" s="29"/>
      <c r="K51" s="29"/>
    </row>
    <row r="52" spans="1:11" x14ac:dyDescent="0.25">
      <c r="A52" s="29"/>
      <c r="B52" s="29"/>
      <c r="C52" s="29"/>
      <c r="D52" s="29"/>
      <c r="E52" s="29"/>
      <c r="F52" s="29"/>
      <c r="G52" s="29"/>
      <c r="H52" s="29"/>
      <c r="I52" s="29"/>
      <c r="J52" s="29"/>
      <c r="K52" s="29"/>
    </row>
    <row r="53" spans="1:11" x14ac:dyDescent="0.25">
      <c r="A53" s="29"/>
      <c r="B53" s="29"/>
      <c r="C53" s="29"/>
      <c r="D53" s="29"/>
      <c r="E53" s="29"/>
      <c r="F53" s="29"/>
      <c r="G53" s="29"/>
      <c r="H53" s="29"/>
      <c r="I53" s="29"/>
      <c r="J53" s="29"/>
      <c r="K53" s="29"/>
    </row>
    <row r="54" spans="1:11" x14ac:dyDescent="0.25">
      <c r="A54" s="29"/>
      <c r="B54" s="29"/>
      <c r="C54" s="29"/>
      <c r="D54" s="29"/>
      <c r="E54" s="29"/>
      <c r="F54" s="29"/>
      <c r="G54" s="29"/>
      <c r="H54" s="29"/>
      <c r="I54" s="29"/>
      <c r="J54" s="29"/>
      <c r="K54" s="29"/>
    </row>
    <row r="55" spans="1:11" x14ac:dyDescent="0.25">
      <c r="A55" s="29"/>
      <c r="B55" s="29"/>
      <c r="C55" s="29"/>
      <c r="D55" s="29"/>
      <c r="E55" s="29"/>
      <c r="F55" s="29"/>
      <c r="G55" s="29"/>
      <c r="H55" s="29"/>
      <c r="I55" s="29"/>
      <c r="J55" s="29"/>
      <c r="K55" s="29"/>
    </row>
    <row r="56" spans="1:11" x14ac:dyDescent="0.25">
      <c r="A56" s="29"/>
      <c r="B56" s="29"/>
      <c r="C56" s="29"/>
      <c r="D56" s="29"/>
      <c r="E56" s="29"/>
      <c r="F56" s="29"/>
      <c r="G56" s="29"/>
      <c r="H56" s="29"/>
      <c r="I56" s="29"/>
      <c r="J56" s="29"/>
      <c r="K56" s="29"/>
    </row>
    <row r="57" spans="1:11" x14ac:dyDescent="0.25">
      <c r="A57" s="29"/>
      <c r="B57" s="29"/>
      <c r="C57" s="29"/>
      <c r="D57" s="29"/>
      <c r="E57" s="29"/>
      <c r="F57" s="29"/>
      <c r="G57" s="29"/>
      <c r="H57" s="29"/>
      <c r="I57" s="29"/>
      <c r="J57" s="29"/>
      <c r="K57" s="29"/>
    </row>
    <row r="58" spans="1:11" x14ac:dyDescent="0.25">
      <c r="A58" s="29"/>
      <c r="B58" s="29"/>
      <c r="C58" s="29"/>
      <c r="D58" s="29"/>
      <c r="E58" s="29"/>
      <c r="F58" s="29"/>
      <c r="G58" s="29"/>
      <c r="H58" s="29"/>
      <c r="I58" s="29"/>
      <c r="J58" s="29"/>
      <c r="K58" s="29"/>
    </row>
    <row r="59" spans="1:11" x14ac:dyDescent="0.25">
      <c r="A59" s="29"/>
      <c r="B59" s="29"/>
      <c r="C59" s="29"/>
      <c r="D59" s="29"/>
      <c r="E59" s="29"/>
      <c r="F59" s="29"/>
      <c r="G59" s="29"/>
      <c r="H59" s="29"/>
      <c r="I59" s="29"/>
      <c r="J59" s="29"/>
      <c r="K59" s="29"/>
    </row>
    <row r="60" spans="1:11" x14ac:dyDescent="0.25">
      <c r="A60" s="29"/>
      <c r="B60" s="29"/>
      <c r="C60" s="29"/>
      <c r="D60" s="29"/>
      <c r="E60" s="29"/>
      <c r="F60" s="29"/>
      <c r="G60" s="29"/>
      <c r="H60" s="29"/>
      <c r="I60" s="29"/>
      <c r="J60" s="29"/>
      <c r="K60" s="29"/>
    </row>
    <row r="61" spans="1:11" x14ac:dyDescent="0.25">
      <c r="A61" s="29"/>
      <c r="B61" s="29"/>
      <c r="C61" s="29"/>
      <c r="D61" s="29"/>
      <c r="E61" s="29"/>
      <c r="F61" s="29"/>
      <c r="G61" s="29"/>
      <c r="H61" s="29"/>
      <c r="I61" s="29"/>
      <c r="J61" s="29"/>
      <c r="K61" s="29"/>
    </row>
    <row r="62" spans="1:11" x14ac:dyDescent="0.25">
      <c r="A62" s="29"/>
      <c r="B62" s="29"/>
      <c r="C62" s="29"/>
      <c r="D62" s="29"/>
      <c r="E62" s="29"/>
      <c r="F62" s="29"/>
      <c r="G62" s="29"/>
      <c r="H62" s="29"/>
      <c r="I62" s="29"/>
      <c r="J62" s="29"/>
      <c r="K62" s="29"/>
    </row>
    <row r="63" spans="1:11" x14ac:dyDescent="0.25">
      <c r="A63" s="29"/>
      <c r="B63" s="29"/>
      <c r="C63" s="29"/>
      <c r="D63" s="29"/>
      <c r="E63" s="29"/>
      <c r="F63" s="29"/>
      <c r="G63" s="29"/>
      <c r="H63" s="29"/>
      <c r="I63" s="29"/>
      <c r="J63" s="29"/>
      <c r="K63" s="29"/>
    </row>
    <row r="64" spans="1:11" x14ac:dyDescent="0.25">
      <c r="A64" s="29"/>
      <c r="B64" s="29"/>
      <c r="C64" s="29"/>
      <c r="D64" s="29"/>
      <c r="E64" s="29"/>
      <c r="F64" s="29"/>
      <c r="G64" s="29"/>
      <c r="H64" s="29"/>
      <c r="I64" s="29"/>
      <c r="J64" s="29"/>
      <c r="K64" s="29"/>
    </row>
    <row r="65" spans="1:11" x14ac:dyDescent="0.25">
      <c r="A65" s="29"/>
      <c r="B65" s="29"/>
      <c r="C65" s="29"/>
      <c r="D65" s="29"/>
      <c r="E65" s="29"/>
      <c r="F65" s="29"/>
      <c r="G65" s="29"/>
      <c r="H65" s="29"/>
      <c r="I65" s="29"/>
      <c r="J65" s="29"/>
      <c r="K65" s="29"/>
    </row>
    <row r="66" spans="1:11" x14ac:dyDescent="0.25">
      <c r="A66" s="29"/>
      <c r="B66" s="29"/>
      <c r="C66" s="29"/>
      <c r="D66" s="29"/>
      <c r="E66" s="29"/>
      <c r="F66" s="29"/>
      <c r="G66" s="29"/>
      <c r="H66" s="29"/>
      <c r="I66" s="29"/>
      <c r="J66" s="29"/>
      <c r="K66" s="29"/>
    </row>
    <row r="67" spans="1:11" x14ac:dyDescent="0.25">
      <c r="A67" s="29"/>
      <c r="B67" s="29"/>
      <c r="C67" s="29"/>
      <c r="D67" s="29"/>
      <c r="E67" s="29"/>
      <c r="F67" s="29"/>
      <c r="G67" s="29"/>
      <c r="H67" s="29"/>
      <c r="I67" s="29"/>
      <c r="J67" s="29"/>
      <c r="K67" s="29"/>
    </row>
    <row r="68" spans="1:11" x14ac:dyDescent="0.25">
      <c r="A68" s="29"/>
      <c r="B68" s="29"/>
      <c r="C68" s="29"/>
      <c r="D68" s="29"/>
      <c r="E68" s="29"/>
      <c r="F68" s="29"/>
      <c r="G68" s="29"/>
      <c r="H68" s="29"/>
      <c r="I68" s="29"/>
      <c r="J68" s="29"/>
      <c r="K68" s="29"/>
    </row>
    <row r="69" spans="1:11" x14ac:dyDescent="0.25">
      <c r="A69" s="29"/>
      <c r="B69" s="29"/>
      <c r="C69" s="29"/>
      <c r="D69" s="29"/>
      <c r="E69" s="29"/>
      <c r="F69" s="29"/>
      <c r="G69" s="29"/>
      <c r="H69" s="29"/>
      <c r="I69" s="29"/>
      <c r="J69" s="29"/>
      <c r="K69" s="29"/>
    </row>
    <row r="70" spans="1:11" x14ac:dyDescent="0.25">
      <c r="A70" s="29"/>
      <c r="B70" s="29"/>
      <c r="C70" s="29"/>
      <c r="D70" s="29"/>
      <c r="E70" s="29"/>
      <c r="F70" s="29"/>
      <c r="G70" s="29"/>
      <c r="H70" s="29"/>
      <c r="I70" s="29"/>
      <c r="J70" s="29"/>
      <c r="K70" s="29"/>
    </row>
    <row r="71" spans="1:11" x14ac:dyDescent="0.25">
      <c r="A71" s="29"/>
      <c r="B71" s="29"/>
      <c r="C71" s="29"/>
      <c r="D71" s="29"/>
      <c r="E71" s="29"/>
      <c r="F71" s="29"/>
      <c r="G71" s="29"/>
      <c r="H71" s="29"/>
      <c r="I71" s="29"/>
      <c r="J71" s="29"/>
      <c r="K71" s="29"/>
    </row>
    <row r="72" spans="1:11" x14ac:dyDescent="0.25">
      <c r="A72" s="29"/>
      <c r="B72" s="29"/>
      <c r="C72" s="29"/>
      <c r="D72" s="29"/>
      <c r="E72" s="29"/>
      <c r="F72" s="29"/>
      <c r="G72" s="29"/>
      <c r="H72" s="29"/>
      <c r="I72" s="29"/>
      <c r="J72" s="29"/>
      <c r="K72" s="29"/>
    </row>
    <row r="73" spans="1:11" x14ac:dyDescent="0.25">
      <c r="A73" s="29"/>
      <c r="B73" s="29"/>
      <c r="C73" s="29"/>
      <c r="D73" s="29"/>
      <c r="E73" s="29"/>
      <c r="F73" s="29"/>
      <c r="G73" s="29"/>
      <c r="H73" s="29"/>
      <c r="I73" s="29"/>
      <c r="J73" s="29"/>
      <c r="K73" s="29"/>
    </row>
    <row r="74" spans="1:11" x14ac:dyDescent="0.25">
      <c r="A74" s="29"/>
      <c r="B74" s="29"/>
      <c r="C74" s="29"/>
      <c r="D74" s="29"/>
      <c r="E74" s="29"/>
      <c r="F74" s="29"/>
      <c r="G74" s="29"/>
      <c r="H74" s="29"/>
      <c r="I74" s="29"/>
      <c r="J74" s="29"/>
      <c r="K74" s="29"/>
    </row>
    <row r="75" spans="1:11" x14ac:dyDescent="0.25">
      <c r="A75" s="29"/>
      <c r="B75" s="29"/>
      <c r="C75" s="29"/>
      <c r="D75" s="29"/>
      <c r="E75" s="29"/>
      <c r="F75" s="29"/>
      <c r="G75" s="29"/>
      <c r="H75" s="29"/>
      <c r="I75" s="29"/>
      <c r="J75" s="29"/>
      <c r="K75" s="29"/>
    </row>
    <row r="76" spans="1:11" x14ac:dyDescent="0.25">
      <c r="A76" s="29"/>
      <c r="B76" s="29"/>
      <c r="C76" s="29"/>
      <c r="D76" s="29"/>
      <c r="E76" s="29"/>
      <c r="F76" s="29"/>
      <c r="G76" s="29"/>
      <c r="H76" s="29"/>
      <c r="I76" s="29"/>
      <c r="J76" s="29"/>
      <c r="K76" s="29"/>
    </row>
    <row r="77" spans="1:11" x14ac:dyDescent="0.25">
      <c r="A77" s="29"/>
      <c r="B77" s="29"/>
      <c r="C77" s="29"/>
      <c r="D77" s="29"/>
      <c r="E77" s="29"/>
      <c r="F77" s="29"/>
      <c r="G77" s="29"/>
      <c r="H77" s="29"/>
      <c r="I77" s="29"/>
      <c r="J77" s="29"/>
      <c r="K77" s="29"/>
    </row>
    <row r="78" spans="1:11" hidden="1" x14ac:dyDescent="0.25">
      <c r="A78" s="29"/>
      <c r="B78" s="29"/>
      <c r="C78" s="29"/>
      <c r="D78" s="29"/>
      <c r="E78" s="29"/>
      <c r="F78" s="29"/>
      <c r="G78" s="29"/>
      <c r="H78" s="29"/>
      <c r="I78" s="29"/>
      <c r="J78" s="29"/>
      <c r="K78" s="29"/>
    </row>
    <row r="79" spans="1:11" hidden="1" x14ac:dyDescent="0.25">
      <c r="A79" s="29"/>
      <c r="B79" s="29"/>
      <c r="C79" s="29"/>
      <c r="D79" s="29"/>
      <c r="E79" s="29"/>
      <c r="F79" s="29"/>
      <c r="G79" s="29"/>
      <c r="H79" s="29"/>
      <c r="I79" s="29"/>
      <c r="J79" s="29"/>
      <c r="K79" s="29"/>
    </row>
    <row r="80" spans="1:11" hidden="1" x14ac:dyDescent="0.25">
      <c r="A80" s="29"/>
      <c r="B80" s="29"/>
      <c r="C80" s="29"/>
      <c r="D80" s="29"/>
      <c r="E80" s="29"/>
      <c r="F80" s="29"/>
      <c r="G80" s="29"/>
      <c r="H80" s="29"/>
      <c r="I80" s="29"/>
      <c r="J80" s="29"/>
      <c r="K80" s="29"/>
    </row>
    <row r="81" spans="1:11" hidden="1" x14ac:dyDescent="0.25">
      <c r="A81" s="29"/>
      <c r="B81" s="29"/>
      <c r="C81" s="29"/>
      <c r="D81" s="29"/>
      <c r="E81" s="29"/>
      <c r="F81" s="29"/>
      <c r="G81" s="29"/>
      <c r="H81" s="29"/>
      <c r="I81" s="29"/>
      <c r="J81" s="29"/>
      <c r="K81" s="29"/>
    </row>
    <row r="82" spans="1:11" hidden="1" x14ac:dyDescent="0.25">
      <c r="A82" s="29"/>
      <c r="B82" s="29"/>
      <c r="C82" s="29"/>
      <c r="D82" s="29"/>
      <c r="E82" s="29"/>
      <c r="F82" s="29"/>
      <c r="G82" s="29"/>
      <c r="H82" s="29"/>
      <c r="I82" s="29"/>
      <c r="J82" s="29"/>
      <c r="K82" s="29"/>
    </row>
    <row r="83" spans="1:11" hidden="1" x14ac:dyDescent="0.25">
      <c r="A83" s="29"/>
      <c r="B83" s="29"/>
      <c r="C83" s="29"/>
      <c r="D83" s="29"/>
      <c r="E83" s="29"/>
      <c r="F83" s="29"/>
      <c r="G83" s="29"/>
      <c r="H83" s="29"/>
      <c r="I83" s="29"/>
      <c r="J83" s="29"/>
      <c r="K83" s="29"/>
    </row>
    <row r="84" spans="1:11" hidden="1" x14ac:dyDescent="0.25">
      <c r="A84" s="29"/>
      <c r="B84" s="29"/>
      <c r="C84" s="29"/>
      <c r="D84" s="29"/>
      <c r="E84" s="29"/>
      <c r="F84" s="29"/>
      <c r="G84" s="29"/>
      <c r="H84" s="29"/>
      <c r="I84" s="29"/>
      <c r="J84" s="29"/>
      <c r="K84" s="29"/>
    </row>
    <row r="85" spans="1:11" hidden="1" x14ac:dyDescent="0.25">
      <c r="A85" s="29"/>
      <c r="B85" s="29"/>
      <c r="C85" s="29"/>
      <c r="D85" s="29"/>
      <c r="E85" s="29"/>
      <c r="F85" s="29"/>
      <c r="G85" s="29"/>
      <c r="H85" s="29"/>
      <c r="I85" s="29"/>
      <c r="J85" s="29"/>
      <c r="K85" s="29"/>
    </row>
    <row r="86" spans="1:11" hidden="1" x14ac:dyDescent="0.25">
      <c r="A86" s="29"/>
      <c r="B86" s="29"/>
      <c r="C86" s="29"/>
      <c r="D86" s="29"/>
      <c r="E86" s="29"/>
      <c r="F86" s="29"/>
      <c r="G86" s="29"/>
      <c r="H86" s="29"/>
      <c r="I86" s="29"/>
      <c r="J86" s="29"/>
      <c r="K86" s="29"/>
    </row>
    <row r="87" spans="1:11" hidden="1" x14ac:dyDescent="0.25">
      <c r="A87" s="29"/>
      <c r="B87" s="29"/>
      <c r="C87" s="29"/>
      <c r="D87" s="29"/>
      <c r="E87" s="29"/>
      <c r="F87" s="29"/>
      <c r="G87" s="29"/>
      <c r="H87" s="29"/>
      <c r="I87" s="29"/>
      <c r="J87" s="29"/>
      <c r="K87" s="29"/>
    </row>
    <row r="88" spans="1:11" hidden="1" x14ac:dyDescent="0.25">
      <c r="A88" s="29"/>
      <c r="B88" s="29"/>
      <c r="C88" s="29"/>
      <c r="D88" s="29"/>
      <c r="E88" s="29"/>
      <c r="F88" s="29"/>
      <c r="G88" s="29"/>
      <c r="H88" s="29"/>
      <c r="I88" s="29"/>
      <c r="J88" s="29"/>
      <c r="K88" s="29"/>
    </row>
    <row r="89" spans="1:11" hidden="1" x14ac:dyDescent="0.25">
      <c r="A89" s="29"/>
      <c r="B89" s="29"/>
      <c r="C89" s="29"/>
      <c r="D89" s="29"/>
      <c r="E89" s="29"/>
      <c r="F89" s="29"/>
      <c r="G89" s="29"/>
      <c r="H89" s="29"/>
      <c r="I89" s="29"/>
      <c r="J89" s="29"/>
      <c r="K89" s="29"/>
    </row>
    <row r="90" spans="1:11" hidden="1" x14ac:dyDescent="0.25">
      <c r="A90" s="29"/>
      <c r="B90" s="29"/>
      <c r="C90" s="29"/>
      <c r="D90" s="29"/>
      <c r="E90" s="29"/>
      <c r="F90" s="29"/>
      <c r="G90" s="29"/>
      <c r="H90" s="29"/>
      <c r="I90" s="29"/>
      <c r="J90" s="29"/>
      <c r="K90" s="29"/>
    </row>
    <row r="91" spans="1:11" hidden="1" x14ac:dyDescent="0.25">
      <c r="A91" s="29"/>
      <c r="B91" s="29"/>
      <c r="C91" s="29"/>
      <c r="D91" s="29"/>
      <c r="E91" s="29"/>
      <c r="F91" s="29"/>
      <c r="G91" s="29"/>
      <c r="H91" s="29"/>
      <c r="I91" s="29"/>
      <c r="J91" s="29"/>
      <c r="K91" s="29"/>
    </row>
    <row r="92" spans="1:11" hidden="1" x14ac:dyDescent="0.25">
      <c r="A92" s="29"/>
      <c r="B92" s="29"/>
      <c r="C92" s="29"/>
      <c r="D92" s="29"/>
      <c r="E92" s="29"/>
      <c r="F92" s="29"/>
      <c r="G92" s="29"/>
      <c r="H92" s="29"/>
      <c r="I92" s="29"/>
      <c r="J92" s="29"/>
      <c r="K92" s="29"/>
    </row>
    <row r="93" spans="1:11" hidden="1" x14ac:dyDescent="0.25">
      <c r="A93" s="29"/>
      <c r="B93" s="29"/>
      <c r="C93" s="29"/>
      <c r="D93" s="29"/>
      <c r="E93" s="29"/>
      <c r="F93" s="29"/>
      <c r="G93" s="29"/>
      <c r="H93" s="29"/>
      <c r="I93" s="29"/>
      <c r="J93" s="29"/>
      <c r="K93" s="29"/>
    </row>
    <row r="94" spans="1:11" hidden="1" x14ac:dyDescent="0.25">
      <c r="A94" s="29"/>
      <c r="B94" s="29"/>
      <c r="C94" s="29"/>
      <c r="D94" s="29"/>
      <c r="E94" s="29"/>
      <c r="F94" s="29"/>
      <c r="G94" s="29"/>
      <c r="H94" s="29"/>
      <c r="I94" s="29"/>
      <c r="J94" s="29"/>
      <c r="K94" s="29"/>
    </row>
    <row r="95" spans="1:11" hidden="1" x14ac:dyDescent="0.25">
      <c r="A95" s="29"/>
      <c r="B95" s="29"/>
      <c r="C95" s="29"/>
      <c r="D95" s="29"/>
      <c r="E95" s="29"/>
      <c r="F95" s="29"/>
      <c r="G95" s="29"/>
      <c r="H95" s="29"/>
      <c r="I95" s="29"/>
      <c r="J95" s="29"/>
      <c r="K95" s="29"/>
    </row>
    <row r="96" spans="1:11" hidden="1" x14ac:dyDescent="0.25">
      <c r="A96" s="29"/>
      <c r="B96" s="29"/>
      <c r="C96" s="29"/>
      <c r="D96" s="29"/>
      <c r="E96" s="29"/>
      <c r="F96" s="29"/>
      <c r="G96" s="29"/>
      <c r="H96" s="29"/>
      <c r="I96" s="29"/>
      <c r="J96" s="29"/>
      <c r="K96" s="29"/>
    </row>
    <row r="97" spans="1:11" hidden="1" x14ac:dyDescent="0.25">
      <c r="A97" s="29"/>
      <c r="B97" s="29"/>
      <c r="C97" s="29"/>
      <c r="D97" s="29"/>
      <c r="E97" s="29"/>
      <c r="F97" s="29"/>
      <c r="G97" s="29"/>
      <c r="H97" s="29"/>
      <c r="I97" s="29"/>
      <c r="J97" s="29"/>
      <c r="K97" s="29"/>
    </row>
    <row r="98" spans="1:11" hidden="1" x14ac:dyDescent="0.25">
      <c r="A98" s="29"/>
      <c r="B98" s="29"/>
      <c r="C98" s="29"/>
      <c r="D98" s="29"/>
      <c r="E98" s="29"/>
      <c r="F98" s="29"/>
      <c r="G98" s="29"/>
      <c r="H98" s="29"/>
      <c r="I98" s="29"/>
      <c r="J98" s="29"/>
      <c r="K98" s="29"/>
    </row>
    <row r="99" spans="1:11" hidden="1" x14ac:dyDescent="0.25">
      <c r="A99" s="29"/>
      <c r="B99" s="29"/>
      <c r="C99" s="29"/>
      <c r="D99" s="29"/>
      <c r="E99" s="29"/>
      <c r="F99" s="29"/>
      <c r="G99" s="29"/>
      <c r="H99" s="29"/>
      <c r="I99" s="29"/>
      <c r="J99" s="29"/>
      <c r="K99" s="29"/>
    </row>
    <row r="100" spans="1:11" hidden="1" x14ac:dyDescent="0.25">
      <c r="A100" s="29"/>
      <c r="B100" s="29"/>
      <c r="C100" s="29"/>
      <c r="D100" s="29"/>
      <c r="E100" s="29"/>
      <c r="F100" s="29"/>
      <c r="G100" s="29"/>
      <c r="H100" s="29"/>
      <c r="I100" s="29"/>
      <c r="J100" s="29"/>
      <c r="K100" s="29"/>
    </row>
    <row r="101" spans="1:11" hidden="1" x14ac:dyDescent="0.25">
      <c r="A101" s="29"/>
      <c r="B101" s="29"/>
      <c r="C101" s="29"/>
      <c r="D101" s="29"/>
      <c r="E101" s="29"/>
      <c r="F101" s="29"/>
      <c r="G101" s="29"/>
      <c r="H101" s="29"/>
      <c r="I101" s="29"/>
      <c r="J101" s="29"/>
      <c r="K101" s="29"/>
    </row>
    <row r="102" spans="1:11" hidden="1" x14ac:dyDescent="0.25">
      <c r="A102" s="29"/>
      <c r="B102" s="29"/>
      <c r="C102" s="29"/>
      <c r="D102" s="29"/>
      <c r="E102" s="29"/>
      <c r="F102" s="29"/>
      <c r="G102" s="29"/>
      <c r="H102" s="29"/>
      <c r="I102" s="29"/>
      <c r="J102" s="29"/>
      <c r="K102" s="29"/>
    </row>
    <row r="103" spans="1:11" hidden="1" x14ac:dyDescent="0.25">
      <c r="A103" s="29"/>
      <c r="B103" s="29"/>
      <c r="C103" s="29"/>
      <c r="D103" s="29"/>
      <c r="E103" s="29"/>
      <c r="F103" s="29"/>
      <c r="G103" s="29"/>
      <c r="H103" s="29"/>
      <c r="I103" s="29"/>
      <c r="J103" s="29"/>
      <c r="K103" s="29"/>
    </row>
    <row r="104" spans="1:11" hidden="1" x14ac:dyDescent="0.25">
      <c r="A104" s="29"/>
      <c r="B104" s="29"/>
      <c r="C104" s="29"/>
      <c r="D104" s="29"/>
      <c r="E104" s="29"/>
      <c r="F104" s="29"/>
      <c r="G104" s="29"/>
      <c r="H104" s="29"/>
      <c r="I104" s="29"/>
      <c r="J104" s="29"/>
      <c r="K104" s="29"/>
    </row>
    <row r="105" spans="1:11" hidden="1" x14ac:dyDescent="0.25">
      <c r="A105" s="29"/>
      <c r="B105" s="29"/>
      <c r="C105" s="29"/>
      <c r="D105" s="29"/>
      <c r="E105" s="29"/>
      <c r="F105" s="29"/>
      <c r="G105" s="29"/>
      <c r="H105" s="29"/>
      <c r="I105" s="29"/>
      <c r="J105" s="29"/>
      <c r="K105" s="29"/>
    </row>
    <row r="106" spans="1:11" hidden="1" x14ac:dyDescent="0.25">
      <c r="A106" s="29"/>
      <c r="B106" s="29"/>
      <c r="C106" s="29"/>
      <c r="D106" s="29"/>
      <c r="E106" s="29"/>
      <c r="F106" s="29"/>
      <c r="G106" s="29"/>
      <c r="H106" s="29"/>
      <c r="I106" s="29"/>
      <c r="J106" s="29"/>
      <c r="K106" s="29"/>
    </row>
    <row r="107" spans="1:11" hidden="1" x14ac:dyDescent="0.25">
      <c r="A107" s="29"/>
      <c r="B107" s="29"/>
      <c r="C107" s="29"/>
      <c r="D107" s="29"/>
      <c r="E107" s="29"/>
      <c r="F107" s="29"/>
      <c r="G107" s="29"/>
      <c r="H107" s="29"/>
      <c r="I107" s="29"/>
      <c r="J107" s="29"/>
      <c r="K107" s="29"/>
    </row>
    <row r="108" spans="1:11" hidden="1" x14ac:dyDescent="0.25">
      <c r="A108" s="29"/>
      <c r="B108" s="29"/>
      <c r="C108" s="29"/>
      <c r="D108" s="29"/>
      <c r="E108" s="29"/>
      <c r="F108" s="29"/>
      <c r="G108" s="29"/>
      <c r="H108" s="29"/>
      <c r="I108" s="29"/>
      <c r="J108" s="29"/>
      <c r="K108" s="29"/>
    </row>
  </sheetData>
  <mergeCells count="4">
    <mergeCell ref="B5:J5"/>
    <mergeCell ref="B6:J6"/>
    <mergeCell ref="B33:J33"/>
    <mergeCell ref="C2:I3"/>
  </mergeCells>
  <hyperlinks>
    <hyperlink ref="J2" location="'Q6'!A1" tooltip="Q6" display="NEXT"/>
    <hyperlink ref="B2" location="'Q4'!A1" tooltip="Q4" display="BACK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00B050"/>
  </sheetPr>
  <dimension ref="A2:L37"/>
  <sheetViews>
    <sheetView showGridLines="0" workbookViewId="0"/>
  </sheetViews>
  <sheetFormatPr defaultColWidth="0" defaultRowHeight="15" customHeight="1" x14ac:dyDescent="0.25"/>
  <cols>
    <col min="1" max="1" width="4" bestFit="1" customWidth="1"/>
    <col min="2" max="2" width="9.140625" customWidth="1"/>
    <col min="3" max="3" width="10.140625" customWidth="1"/>
    <col min="4" max="4" width="8.5703125" customWidth="1"/>
    <col min="5" max="5" width="11.28515625" customWidth="1"/>
    <col min="6" max="6" width="8.7109375" customWidth="1"/>
    <col min="7" max="7" width="11.42578125" customWidth="1"/>
    <col min="8" max="8" width="13.5703125" customWidth="1"/>
    <col min="9" max="10" width="9.140625" customWidth="1"/>
    <col min="11" max="11" width="4" bestFit="1" customWidth="1"/>
    <col min="12" max="12" width="9.140625" customWidth="1"/>
    <col min="13" max="16384" width="9.140625" hidden="1"/>
  </cols>
  <sheetData>
    <row r="2" spans="2:12" ht="15" customHeight="1" x14ac:dyDescent="0.25">
      <c r="B2" s="31" t="s">
        <v>166</v>
      </c>
      <c r="C2" s="52" t="s">
        <v>24</v>
      </c>
      <c r="D2" s="52"/>
      <c r="E2" s="52"/>
      <c r="F2" s="52"/>
      <c r="G2" s="52"/>
      <c r="H2" s="52"/>
      <c r="I2" s="52"/>
      <c r="J2" s="31" t="s">
        <v>165</v>
      </c>
    </row>
    <row r="3" spans="2:12" ht="15" customHeight="1" x14ac:dyDescent="0.25">
      <c r="C3" s="52"/>
      <c r="D3" s="52"/>
      <c r="E3" s="52"/>
      <c r="F3" s="52"/>
      <c r="G3" s="52"/>
      <c r="H3" s="52"/>
      <c r="I3" s="52"/>
    </row>
    <row r="5" spans="2:12" x14ac:dyDescent="0.25">
      <c r="B5" s="71" t="s">
        <v>162</v>
      </c>
      <c r="C5" s="72"/>
      <c r="D5" s="72"/>
      <c r="E5" s="72"/>
      <c r="F5" s="72"/>
      <c r="G5" s="72"/>
      <c r="H5" s="72"/>
      <c r="I5" s="72"/>
      <c r="J5" s="72"/>
      <c r="K5" s="72"/>
      <c r="L5" s="72"/>
    </row>
    <row r="6" spans="2:12" x14ac:dyDescent="0.25">
      <c r="B6" s="71"/>
      <c r="C6" s="72"/>
      <c r="D6" s="72"/>
      <c r="E6" s="72"/>
      <c r="F6" s="72"/>
      <c r="G6" s="72"/>
      <c r="H6" s="72"/>
      <c r="I6" s="72"/>
      <c r="J6" s="72"/>
      <c r="K6" s="72"/>
      <c r="L6" s="72"/>
    </row>
    <row r="8" spans="2:12" x14ac:dyDescent="0.25">
      <c r="C8" s="13" t="s">
        <v>33</v>
      </c>
      <c r="D8" s="13" t="s">
        <v>160</v>
      </c>
      <c r="E8" s="13" t="s">
        <v>156</v>
      </c>
    </row>
    <row r="9" spans="2:12" x14ac:dyDescent="0.25">
      <c r="C9" s="18" t="s">
        <v>41</v>
      </c>
      <c r="D9" s="1">
        <v>13</v>
      </c>
      <c r="E9" s="23">
        <v>0.96509999999999996</v>
      </c>
    </row>
    <row r="10" spans="2:12" x14ac:dyDescent="0.25">
      <c r="C10" s="18" t="s">
        <v>139</v>
      </c>
      <c r="D10" s="1">
        <v>16</v>
      </c>
      <c r="E10" s="23">
        <v>0.32591570481787613</v>
      </c>
    </row>
    <row r="11" spans="2:12" x14ac:dyDescent="0.25">
      <c r="C11" s="18" t="s">
        <v>124</v>
      </c>
      <c r="D11" s="1">
        <v>24</v>
      </c>
      <c r="E11" s="23">
        <v>0.85629999999999995</v>
      </c>
    </row>
    <row r="12" spans="2:12" x14ac:dyDescent="0.25">
      <c r="C12" s="18" t="s">
        <v>161</v>
      </c>
      <c r="D12" s="1">
        <v>8</v>
      </c>
      <c r="E12" s="23">
        <v>0.62101857733230315</v>
      </c>
    </row>
    <row r="13" spans="2:12" x14ac:dyDescent="0.25">
      <c r="C13" s="18" t="s">
        <v>41</v>
      </c>
      <c r="D13" s="1">
        <v>28</v>
      </c>
      <c r="E13" s="23">
        <v>0.97421000000000002</v>
      </c>
    </row>
    <row r="14" spans="2:12" x14ac:dyDescent="0.25">
      <c r="C14" s="18" t="s">
        <v>139</v>
      </c>
      <c r="D14" s="1">
        <v>17</v>
      </c>
      <c r="E14" s="23">
        <v>0.85</v>
      </c>
    </row>
    <row r="15" spans="2:12" x14ac:dyDescent="0.25">
      <c r="C15" s="18" t="s">
        <v>124</v>
      </c>
      <c r="D15" s="1">
        <v>23</v>
      </c>
      <c r="E15" s="23">
        <v>0.59498560120611432</v>
      </c>
    </row>
    <row r="16" spans="2:12" x14ac:dyDescent="0.25">
      <c r="C16" s="18" t="s">
        <v>161</v>
      </c>
      <c r="D16" s="1">
        <v>17</v>
      </c>
      <c r="E16" s="23">
        <v>0.75660000000000005</v>
      </c>
      <c r="G16" s="24" t="s">
        <v>33</v>
      </c>
      <c r="H16" s="25" t="s">
        <v>163</v>
      </c>
    </row>
    <row r="17" spans="3:8" x14ac:dyDescent="0.25">
      <c r="C17" s="18" t="s">
        <v>41</v>
      </c>
      <c r="D17" s="1">
        <v>15</v>
      </c>
      <c r="E17" s="23">
        <v>0.88649999999999995</v>
      </c>
      <c r="G17" s="30" t="s">
        <v>41</v>
      </c>
      <c r="H17" s="28">
        <f>SUMIFS($D$9:$D$37,$C$9:$C$37,$G17,$E$9:$E$37,"&lt;=95%",$E$9:$E$37,"&gt;=85%")</f>
        <v>57</v>
      </c>
    </row>
    <row r="18" spans="3:8" x14ac:dyDescent="0.25">
      <c r="C18" s="18" t="s">
        <v>139</v>
      </c>
      <c r="D18" s="1">
        <v>12</v>
      </c>
      <c r="E18" s="23">
        <v>0.9456</v>
      </c>
      <c r="G18" s="30" t="s">
        <v>139</v>
      </c>
      <c r="H18" s="28">
        <f t="shared" ref="H18:H20" si="0">SUMIFS($D$9:$D$37,$C$9:$C$37,$G18,$E$9:$E$37,"&lt;=95%",$E$9:$E$37,"&gt;=85%")</f>
        <v>63</v>
      </c>
    </row>
    <row r="19" spans="3:8" x14ac:dyDescent="0.25">
      <c r="C19" s="18" t="s">
        <v>124</v>
      </c>
      <c r="D19" s="1">
        <v>5</v>
      </c>
      <c r="E19" s="23">
        <v>0.56841255100384547</v>
      </c>
      <c r="G19" s="30" t="s">
        <v>124</v>
      </c>
      <c r="H19" s="28">
        <f t="shared" si="0"/>
        <v>50</v>
      </c>
    </row>
    <row r="20" spans="3:8" x14ac:dyDescent="0.25">
      <c r="C20" s="18" t="s">
        <v>161</v>
      </c>
      <c r="D20" s="1">
        <v>16</v>
      </c>
      <c r="E20" s="23">
        <v>0.81</v>
      </c>
      <c r="G20" s="30" t="s">
        <v>161</v>
      </c>
      <c r="H20" s="28">
        <f t="shared" si="0"/>
        <v>26</v>
      </c>
    </row>
    <row r="21" spans="3:8" x14ac:dyDescent="0.25">
      <c r="C21" s="18" t="s">
        <v>41</v>
      </c>
      <c r="D21" s="1">
        <v>12</v>
      </c>
      <c r="E21" s="23">
        <v>0.89658539999999998</v>
      </c>
    </row>
    <row r="22" spans="3:8" x14ac:dyDescent="0.25">
      <c r="C22" s="18" t="s">
        <v>139</v>
      </c>
      <c r="D22" s="1">
        <v>17</v>
      </c>
      <c r="E22" s="23">
        <v>0.48704244990831835</v>
      </c>
    </row>
    <row r="23" spans="3:8" x14ac:dyDescent="0.25">
      <c r="C23" s="18" t="s">
        <v>124</v>
      </c>
      <c r="D23" s="1">
        <v>3</v>
      </c>
      <c r="E23" s="23">
        <v>0.46462159145496051</v>
      </c>
    </row>
    <row r="24" spans="3:8" x14ac:dyDescent="0.25">
      <c r="C24" s="18" t="s">
        <v>41</v>
      </c>
      <c r="D24" s="1">
        <v>24</v>
      </c>
      <c r="E24" s="23">
        <v>0.99907519501709963</v>
      </c>
    </row>
    <row r="25" spans="3:8" x14ac:dyDescent="0.25">
      <c r="C25" s="18" t="s">
        <v>139</v>
      </c>
      <c r="D25" s="1">
        <v>10</v>
      </c>
      <c r="E25" s="23">
        <v>0.93567999999999996</v>
      </c>
    </row>
    <row r="26" spans="3:8" x14ac:dyDescent="0.25">
      <c r="C26" s="18" t="s">
        <v>124</v>
      </c>
      <c r="D26" s="1">
        <v>20</v>
      </c>
      <c r="E26" s="23">
        <v>0.84515700000000005</v>
      </c>
    </row>
    <row r="27" spans="3:8" ht="15" customHeight="1" x14ac:dyDescent="0.25">
      <c r="C27" s="18" t="s">
        <v>161</v>
      </c>
      <c r="D27" s="1">
        <v>5</v>
      </c>
      <c r="E27" s="23">
        <v>0.75439968238924793</v>
      </c>
    </row>
    <row r="28" spans="3:8" ht="15" customHeight="1" x14ac:dyDescent="0.25">
      <c r="C28" s="18" t="s">
        <v>41</v>
      </c>
      <c r="D28" s="1">
        <v>23</v>
      </c>
      <c r="E28" s="23">
        <v>0.86325099999999999</v>
      </c>
    </row>
    <row r="29" spans="3:8" ht="15" customHeight="1" x14ac:dyDescent="0.25">
      <c r="C29" s="18" t="s">
        <v>139</v>
      </c>
      <c r="D29" s="1">
        <v>24</v>
      </c>
      <c r="E29" s="23">
        <v>0.91562540000000003</v>
      </c>
    </row>
    <row r="30" spans="3:8" ht="15" customHeight="1" x14ac:dyDescent="0.25">
      <c r="C30" s="18" t="s">
        <v>124</v>
      </c>
      <c r="D30" s="1">
        <v>8</v>
      </c>
      <c r="E30" s="23">
        <v>0.50503796942286538</v>
      </c>
    </row>
    <row r="31" spans="3:8" ht="15" customHeight="1" x14ac:dyDescent="0.25">
      <c r="C31" s="18" t="s">
        <v>161</v>
      </c>
      <c r="D31" s="1">
        <v>15</v>
      </c>
      <c r="E31" s="23">
        <v>0.99685858000000005</v>
      </c>
    </row>
    <row r="32" spans="3:8" ht="15" customHeight="1" x14ac:dyDescent="0.25">
      <c r="C32" s="18" t="s">
        <v>139</v>
      </c>
      <c r="D32" s="1">
        <v>1</v>
      </c>
      <c r="E32" s="23">
        <v>0.9899</v>
      </c>
    </row>
    <row r="33" spans="3:5" ht="15" customHeight="1" x14ac:dyDescent="0.25">
      <c r="C33" s="18" t="s">
        <v>124</v>
      </c>
      <c r="D33" s="1">
        <v>22</v>
      </c>
      <c r="E33" s="23">
        <v>0.73226213800032058</v>
      </c>
    </row>
    <row r="34" spans="3:5" ht="15" customHeight="1" x14ac:dyDescent="0.25">
      <c r="C34" s="18" t="s">
        <v>161</v>
      </c>
      <c r="D34" s="1">
        <v>26</v>
      </c>
      <c r="E34" s="23">
        <v>0.94525000000000003</v>
      </c>
    </row>
    <row r="35" spans="3:5" ht="15" customHeight="1" x14ac:dyDescent="0.25">
      <c r="C35" s="18" t="s">
        <v>41</v>
      </c>
      <c r="D35" s="1">
        <v>7</v>
      </c>
      <c r="E35" s="23">
        <v>0.85450000000000004</v>
      </c>
    </row>
    <row r="36" spans="3:5" ht="15" customHeight="1" x14ac:dyDescent="0.25">
      <c r="C36" s="18" t="s">
        <v>139</v>
      </c>
      <c r="D36" s="1">
        <v>23</v>
      </c>
      <c r="E36" s="23">
        <v>0.76454</v>
      </c>
    </row>
    <row r="37" spans="3:5" ht="15" customHeight="1" x14ac:dyDescent="0.25">
      <c r="C37" s="18" t="s">
        <v>124</v>
      </c>
      <c r="D37" s="1">
        <v>26</v>
      </c>
      <c r="E37" s="23">
        <v>0.91249999999999998</v>
      </c>
    </row>
  </sheetData>
  <sheetProtection password="CE28" sheet="1" objects="1" scenarios="1"/>
  <mergeCells count="2">
    <mergeCell ref="C2:I3"/>
    <mergeCell ref="B5:L6"/>
  </mergeCells>
  <hyperlinks>
    <hyperlink ref="J2" location="'Q7'!A1" tooltip="Q7" display="NEXT"/>
    <hyperlink ref="B2" location="'Q5'!A1" tooltip="Q5" display="BACK"/>
  </hyperlink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K19"/>
  <sheetViews>
    <sheetView showGridLines="0" workbookViewId="0"/>
  </sheetViews>
  <sheetFormatPr defaultColWidth="0" defaultRowHeight="15" zeroHeight="1" x14ac:dyDescent="0.25"/>
  <cols>
    <col min="1" max="1" width="4" bestFit="1" customWidth="1"/>
    <col min="2" max="2" width="9.140625" customWidth="1"/>
    <col min="3" max="4" width="10.140625" bestFit="1" customWidth="1"/>
    <col min="5" max="5" width="9.140625" customWidth="1"/>
    <col min="6" max="6" width="7.140625" customWidth="1"/>
    <col min="7" max="10" width="9.140625" customWidth="1"/>
    <col min="11" max="11" width="4" bestFit="1" customWidth="1"/>
    <col min="12" max="16384" width="9.140625" hidden="1"/>
  </cols>
  <sheetData>
    <row r="1" spans="2:10" x14ac:dyDescent="0.25"/>
    <row r="2" spans="2:10" ht="15" customHeight="1" x14ac:dyDescent="0.25">
      <c r="B2" s="31" t="s">
        <v>166</v>
      </c>
      <c r="C2" s="52" t="s">
        <v>25</v>
      </c>
      <c r="D2" s="52"/>
      <c r="E2" s="52"/>
      <c r="F2" s="52"/>
      <c r="G2" s="52"/>
      <c r="H2" s="52"/>
      <c r="I2" s="52"/>
      <c r="J2" s="31" t="s">
        <v>165</v>
      </c>
    </row>
    <row r="3" spans="2:10" ht="15" customHeight="1" x14ac:dyDescent="0.25">
      <c r="C3" s="52"/>
      <c r="D3" s="52"/>
      <c r="E3" s="52"/>
      <c r="F3" s="52"/>
      <c r="G3" s="52"/>
      <c r="H3" s="52"/>
      <c r="I3" s="52"/>
    </row>
    <row r="4" spans="2:10" x14ac:dyDescent="0.25"/>
    <row r="5" spans="2:10" x14ac:dyDescent="0.25">
      <c r="B5" s="67" t="s">
        <v>168</v>
      </c>
      <c r="C5" s="67"/>
      <c r="D5" s="67"/>
      <c r="E5" s="67"/>
      <c r="F5" s="67"/>
      <c r="G5" s="67"/>
      <c r="H5" s="67"/>
      <c r="I5" s="67"/>
      <c r="J5" s="67"/>
    </row>
    <row r="6" spans="2:10" x14ac:dyDescent="0.25">
      <c r="B6" s="62" t="s">
        <v>57</v>
      </c>
      <c r="C6" s="63"/>
      <c r="D6" s="63"/>
      <c r="E6" s="63"/>
      <c r="F6" s="63"/>
      <c r="G6" s="63"/>
      <c r="H6" s="63"/>
      <c r="I6" s="63"/>
      <c r="J6" s="64"/>
    </row>
    <row r="7" spans="2:10" x14ac:dyDescent="0.25"/>
    <row r="8" spans="2:10" x14ac:dyDescent="0.25">
      <c r="B8" s="2" t="s">
        <v>35</v>
      </c>
      <c r="C8" s="2" t="s">
        <v>39</v>
      </c>
      <c r="D8" s="2" t="s">
        <v>40</v>
      </c>
      <c r="E8" s="2" t="s">
        <v>51</v>
      </c>
      <c r="G8" s="73" t="s">
        <v>59</v>
      </c>
      <c r="H8" s="74"/>
      <c r="I8" s="75"/>
    </row>
    <row r="9" spans="2:10" x14ac:dyDescent="0.25">
      <c r="B9" s="1" t="s">
        <v>36</v>
      </c>
      <c r="C9" s="1" t="s">
        <v>41</v>
      </c>
      <c r="D9" s="1" t="s">
        <v>47</v>
      </c>
      <c r="E9" s="1" t="s">
        <v>52</v>
      </c>
    </row>
    <row r="10" spans="2:10" x14ac:dyDescent="0.25">
      <c r="B10" s="1" t="s">
        <v>37</v>
      </c>
      <c r="C10" s="1" t="s">
        <v>42</v>
      </c>
      <c r="D10" s="1" t="s">
        <v>48</v>
      </c>
      <c r="E10" s="1" t="s">
        <v>53</v>
      </c>
      <c r="F10" s="10"/>
    </row>
    <row r="11" spans="2:10" x14ac:dyDescent="0.25">
      <c r="B11" s="1" t="s">
        <v>51</v>
      </c>
      <c r="C11" s="1" t="s">
        <v>43</v>
      </c>
      <c r="D11" s="1" t="s">
        <v>49</v>
      </c>
      <c r="E11" s="1" t="s">
        <v>54</v>
      </c>
    </row>
    <row r="12" spans="2:10" x14ac:dyDescent="0.25">
      <c r="C12" s="1" t="s">
        <v>44</v>
      </c>
      <c r="D12" s="1" t="s">
        <v>50</v>
      </c>
      <c r="E12" s="1" t="s">
        <v>55</v>
      </c>
    </row>
    <row r="13" spans="2:10" x14ac:dyDescent="0.25">
      <c r="C13" s="1" t="s">
        <v>45</v>
      </c>
      <c r="E13" s="1" t="s">
        <v>56</v>
      </c>
    </row>
    <row r="14" spans="2:10" x14ac:dyDescent="0.25">
      <c r="C14" s="1" t="s">
        <v>46</v>
      </c>
    </row>
    <row r="15" spans="2:10" x14ac:dyDescent="0.25"/>
    <row r="16" spans="2:10" x14ac:dyDescent="0.25">
      <c r="F16" s="10"/>
    </row>
    <row r="17" x14ac:dyDescent="0.25"/>
    <row r="18" x14ac:dyDescent="0.25"/>
    <row r="19" x14ac:dyDescent="0.25"/>
  </sheetData>
  <mergeCells count="4">
    <mergeCell ref="B5:J5"/>
    <mergeCell ref="B6:J6"/>
    <mergeCell ref="G8:I8"/>
    <mergeCell ref="C2:I3"/>
  </mergeCells>
  <hyperlinks>
    <hyperlink ref="J2" location="'Q8'!A1" tooltip="Q8" display="NEXT"/>
    <hyperlink ref="B2" location="'Q6'!A1" tooltip="Q6" display="BACK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T39"/>
  <sheetViews>
    <sheetView showGridLines="0" workbookViewId="0"/>
  </sheetViews>
  <sheetFormatPr defaultColWidth="0" defaultRowHeight="15" zeroHeight="1" x14ac:dyDescent="0.25"/>
  <cols>
    <col min="1" max="1" width="4" bestFit="1" customWidth="1"/>
    <col min="2" max="2" width="9.140625" customWidth="1"/>
    <col min="3" max="3" width="20.42578125" bestFit="1" customWidth="1"/>
    <col min="4" max="4" width="8.7109375" bestFit="1" customWidth="1"/>
    <col min="5" max="5" width="10.7109375" customWidth="1"/>
    <col min="6" max="9" width="9.140625" customWidth="1"/>
    <col min="10" max="10" width="6.28515625" customWidth="1"/>
    <col min="11" max="11" width="12" customWidth="1"/>
    <col min="12" max="12" width="8.7109375" customWidth="1"/>
    <col min="13" max="13" width="10.7109375" customWidth="1"/>
    <col min="14" max="19" width="9.140625" customWidth="1"/>
    <col min="20" max="20" width="0" hidden="1" customWidth="1"/>
    <col min="21" max="16384" width="9.140625" hidden="1"/>
  </cols>
  <sheetData>
    <row r="1" spans="2:19" x14ac:dyDescent="0.25"/>
    <row r="2" spans="2:19" ht="15" customHeight="1" x14ac:dyDescent="0.25">
      <c r="B2" s="31" t="s">
        <v>166</v>
      </c>
      <c r="C2" s="52" t="s">
        <v>32</v>
      </c>
      <c r="D2" s="52"/>
      <c r="E2" s="52"/>
      <c r="F2" s="52"/>
      <c r="G2" s="52"/>
      <c r="H2" s="52"/>
      <c r="I2" s="52"/>
      <c r="J2" s="52"/>
      <c r="K2" s="52"/>
      <c r="L2" s="52"/>
      <c r="M2" s="52"/>
      <c r="N2" s="52"/>
      <c r="O2" s="52"/>
      <c r="P2" s="52"/>
      <c r="Q2" s="52"/>
      <c r="R2" s="52"/>
      <c r="S2" s="31" t="s">
        <v>165</v>
      </c>
    </row>
    <row r="3" spans="2:19" ht="15" customHeight="1" x14ac:dyDescent="0.25">
      <c r="C3" s="52"/>
      <c r="D3" s="52"/>
      <c r="E3" s="52"/>
      <c r="F3" s="52"/>
      <c r="G3" s="52"/>
      <c r="H3" s="52"/>
      <c r="I3" s="52"/>
      <c r="J3" s="52"/>
      <c r="K3" s="52"/>
      <c r="L3" s="52"/>
      <c r="M3" s="52"/>
      <c r="N3" s="52"/>
      <c r="O3" s="52"/>
      <c r="P3" s="52"/>
      <c r="Q3" s="52"/>
      <c r="R3" s="52"/>
    </row>
    <row r="4" spans="2:19" x14ac:dyDescent="0.25"/>
    <row r="5" spans="2:19" x14ac:dyDescent="0.25">
      <c r="B5" s="76" t="s">
        <v>92</v>
      </c>
      <c r="C5" s="77"/>
      <c r="D5" s="77"/>
      <c r="E5" s="77"/>
      <c r="F5" s="77"/>
      <c r="G5" s="77"/>
      <c r="H5" s="77"/>
      <c r="I5" s="77"/>
      <c r="J5" s="77"/>
      <c r="K5" s="77"/>
      <c r="L5" s="77"/>
      <c r="M5" s="77"/>
      <c r="N5" s="77"/>
      <c r="O5" s="77"/>
      <c r="P5" s="77"/>
      <c r="Q5" s="77"/>
      <c r="R5" s="77"/>
      <c r="S5" s="78"/>
    </row>
    <row r="6" spans="2:19" x14ac:dyDescent="0.25">
      <c r="B6" s="62"/>
      <c r="C6" s="63"/>
      <c r="D6" s="63"/>
      <c r="E6" s="63"/>
      <c r="F6" s="63"/>
      <c r="G6" s="63"/>
      <c r="H6" s="63"/>
      <c r="I6" s="63"/>
      <c r="J6" s="63"/>
      <c r="K6" s="63"/>
      <c r="L6" s="63"/>
      <c r="M6" s="63"/>
      <c r="N6" s="63"/>
      <c r="O6" s="63"/>
      <c r="P6" s="63"/>
      <c r="Q6" s="63"/>
      <c r="R6" s="63"/>
      <c r="S6" s="64"/>
    </row>
    <row r="7" spans="2:19" x14ac:dyDescent="0.25"/>
    <row r="8" spans="2:19" x14ac:dyDescent="0.25">
      <c r="B8" s="43" t="s">
        <v>94</v>
      </c>
      <c r="C8" s="43" t="s">
        <v>60</v>
      </c>
      <c r="D8" s="43" t="s">
        <v>61</v>
      </c>
      <c r="E8" s="43" t="s">
        <v>93</v>
      </c>
    </row>
    <row r="9" spans="2:19" x14ac:dyDescent="0.25">
      <c r="B9" s="44">
        <v>1</v>
      </c>
      <c r="C9" s="44" t="s">
        <v>62</v>
      </c>
      <c r="D9" s="45">
        <v>0.98060000000000003</v>
      </c>
      <c r="E9" s="44">
        <v>76</v>
      </c>
    </row>
    <row r="10" spans="2:19" x14ac:dyDescent="0.25">
      <c r="B10" s="44">
        <v>2</v>
      </c>
      <c r="C10" s="44" t="s">
        <v>63</v>
      </c>
      <c r="D10" s="45">
        <v>0.9012</v>
      </c>
      <c r="E10" s="44">
        <v>44</v>
      </c>
    </row>
    <row r="11" spans="2:19" x14ac:dyDescent="0.25">
      <c r="B11" s="44">
        <v>3</v>
      </c>
      <c r="C11" s="44" t="s">
        <v>64</v>
      </c>
      <c r="D11" s="45">
        <v>0.47089999999999999</v>
      </c>
      <c r="E11" s="44">
        <v>61</v>
      </c>
    </row>
    <row r="12" spans="2:19" x14ac:dyDescent="0.25">
      <c r="B12" s="44">
        <v>4</v>
      </c>
      <c r="C12" s="44" t="s">
        <v>65</v>
      </c>
      <c r="D12" s="45">
        <v>1</v>
      </c>
      <c r="E12" s="44">
        <v>48</v>
      </c>
    </row>
    <row r="13" spans="2:19" x14ac:dyDescent="0.25">
      <c r="B13" s="44">
        <v>5</v>
      </c>
      <c r="C13" s="44" t="s">
        <v>66</v>
      </c>
      <c r="D13" s="45">
        <v>0.94189999999999996</v>
      </c>
      <c r="E13" s="44">
        <v>87</v>
      </c>
    </row>
    <row r="14" spans="2:19" x14ac:dyDescent="0.25">
      <c r="B14" s="44">
        <v>6</v>
      </c>
      <c r="C14" s="44" t="s">
        <v>67</v>
      </c>
      <c r="D14" s="45">
        <v>0.5</v>
      </c>
      <c r="E14" s="44">
        <v>45</v>
      </c>
    </row>
    <row r="15" spans="2:19" x14ac:dyDescent="0.25">
      <c r="B15" s="44">
        <v>7</v>
      </c>
      <c r="C15" s="44" t="s">
        <v>68</v>
      </c>
      <c r="D15" s="45">
        <v>1</v>
      </c>
      <c r="E15" s="44">
        <v>41</v>
      </c>
    </row>
    <row r="16" spans="2:19" x14ac:dyDescent="0.25">
      <c r="B16" s="44">
        <v>8</v>
      </c>
      <c r="C16" s="44" t="s">
        <v>69</v>
      </c>
      <c r="D16" s="45">
        <v>0.5</v>
      </c>
      <c r="E16" s="44">
        <v>80</v>
      </c>
      <c r="H16" s="11">
        <v>8</v>
      </c>
    </row>
    <row r="17" spans="2:5" x14ac:dyDescent="0.25">
      <c r="B17" s="44">
        <v>9</v>
      </c>
      <c r="C17" s="44" t="s">
        <v>70</v>
      </c>
      <c r="D17" s="45">
        <v>0.97089999999999999</v>
      </c>
      <c r="E17" s="44">
        <v>73</v>
      </c>
    </row>
    <row r="18" spans="2:5" x14ac:dyDescent="0.25">
      <c r="B18" s="44">
        <v>10</v>
      </c>
      <c r="C18" s="44" t="s">
        <v>71</v>
      </c>
      <c r="D18" s="45">
        <v>0.98839999999999995</v>
      </c>
      <c r="E18" s="44">
        <v>72</v>
      </c>
    </row>
    <row r="19" spans="2:5" x14ac:dyDescent="0.25">
      <c r="B19" s="44">
        <v>11</v>
      </c>
      <c r="C19" s="44" t="s">
        <v>72</v>
      </c>
      <c r="D19" s="45">
        <v>0</v>
      </c>
      <c r="E19" s="44">
        <v>57</v>
      </c>
    </row>
    <row r="20" spans="2:5" x14ac:dyDescent="0.25">
      <c r="B20" s="44">
        <v>12</v>
      </c>
      <c r="C20" s="44" t="s">
        <v>73</v>
      </c>
      <c r="D20" s="45">
        <v>0.93020000000000003</v>
      </c>
      <c r="E20" s="44">
        <v>60</v>
      </c>
    </row>
    <row r="21" spans="2:5" x14ac:dyDescent="0.25">
      <c r="B21" s="44">
        <v>13</v>
      </c>
      <c r="C21" s="44" t="s">
        <v>74</v>
      </c>
      <c r="D21" s="45">
        <v>0.95930000000000004</v>
      </c>
      <c r="E21" s="44">
        <v>86</v>
      </c>
    </row>
    <row r="22" spans="2:5" x14ac:dyDescent="0.25">
      <c r="B22" s="44">
        <v>14</v>
      </c>
      <c r="C22" s="44" t="s">
        <v>75</v>
      </c>
      <c r="D22" s="45">
        <v>1</v>
      </c>
      <c r="E22" s="44">
        <v>83</v>
      </c>
    </row>
    <row r="23" spans="2:5" x14ac:dyDescent="0.25">
      <c r="B23" s="44">
        <v>15</v>
      </c>
      <c r="C23" s="44" t="s">
        <v>76</v>
      </c>
      <c r="D23" s="45">
        <v>0.97089999999999999</v>
      </c>
      <c r="E23" s="44">
        <v>49</v>
      </c>
    </row>
    <row r="24" spans="2:5" x14ac:dyDescent="0.25">
      <c r="B24" s="44">
        <v>16</v>
      </c>
      <c r="C24" s="44" t="s">
        <v>77</v>
      </c>
      <c r="D24" s="45">
        <v>0.5</v>
      </c>
      <c r="E24" s="44">
        <v>74</v>
      </c>
    </row>
    <row r="25" spans="2:5" x14ac:dyDescent="0.25">
      <c r="B25" s="44">
        <v>17</v>
      </c>
      <c r="C25" s="44" t="s">
        <v>78</v>
      </c>
      <c r="D25" s="45">
        <v>0.94189999999999996</v>
      </c>
      <c r="E25" s="44">
        <v>41</v>
      </c>
    </row>
    <row r="26" spans="2:5" x14ac:dyDescent="0.25">
      <c r="B26" s="44">
        <v>18</v>
      </c>
      <c r="C26" s="44" t="s">
        <v>79</v>
      </c>
      <c r="D26" s="45">
        <v>0.94189999999999996</v>
      </c>
      <c r="E26" s="44">
        <v>63</v>
      </c>
    </row>
    <row r="27" spans="2:5" x14ac:dyDescent="0.25">
      <c r="B27" s="44">
        <v>19</v>
      </c>
      <c r="C27" s="44" t="s">
        <v>80</v>
      </c>
      <c r="D27" s="45">
        <v>1</v>
      </c>
      <c r="E27" s="44">
        <v>49</v>
      </c>
    </row>
    <row r="28" spans="2:5" x14ac:dyDescent="0.25">
      <c r="B28" s="44">
        <v>20</v>
      </c>
      <c r="C28" s="44" t="s">
        <v>81</v>
      </c>
      <c r="D28" s="45">
        <v>0.97089999999999999</v>
      </c>
      <c r="E28" s="44">
        <v>75</v>
      </c>
    </row>
    <row r="29" spans="2:5" x14ac:dyDescent="0.25">
      <c r="B29" s="44">
        <v>21</v>
      </c>
      <c r="C29" s="44" t="s">
        <v>82</v>
      </c>
      <c r="D29" s="45">
        <v>0.85470000000000002</v>
      </c>
      <c r="E29" s="44">
        <v>63</v>
      </c>
    </row>
    <row r="30" spans="2:5" x14ac:dyDescent="0.25">
      <c r="B30" s="44">
        <v>22</v>
      </c>
      <c r="C30" s="44" t="s">
        <v>83</v>
      </c>
      <c r="D30" s="45">
        <v>0.97089999999999999</v>
      </c>
      <c r="E30" s="44">
        <v>53</v>
      </c>
    </row>
    <row r="31" spans="2:5" x14ac:dyDescent="0.25">
      <c r="B31" s="44">
        <v>23</v>
      </c>
      <c r="C31" s="44" t="s">
        <v>84</v>
      </c>
      <c r="D31" s="45">
        <v>0.87209999999999999</v>
      </c>
      <c r="E31" s="44">
        <v>95</v>
      </c>
    </row>
    <row r="32" spans="2:5" x14ac:dyDescent="0.25">
      <c r="B32" s="44">
        <v>24</v>
      </c>
      <c r="C32" s="44" t="s">
        <v>85</v>
      </c>
      <c r="D32" s="45">
        <v>0.94769999999999999</v>
      </c>
      <c r="E32" s="44">
        <v>64</v>
      </c>
    </row>
    <row r="33" spans="2:5" x14ac:dyDescent="0.25">
      <c r="B33" s="44">
        <v>25</v>
      </c>
      <c r="C33" s="44" t="s">
        <v>86</v>
      </c>
      <c r="D33" s="45">
        <v>0.4884</v>
      </c>
      <c r="E33" s="44">
        <v>63</v>
      </c>
    </row>
    <row r="34" spans="2:5" x14ac:dyDescent="0.25">
      <c r="B34" s="44">
        <v>26</v>
      </c>
      <c r="C34" s="44" t="s">
        <v>87</v>
      </c>
      <c r="D34" s="45">
        <v>0.93020000000000003</v>
      </c>
      <c r="E34" s="44">
        <v>75</v>
      </c>
    </row>
    <row r="35" spans="2:5" x14ac:dyDescent="0.25">
      <c r="B35" s="44">
        <v>27</v>
      </c>
      <c r="C35" s="44" t="s">
        <v>88</v>
      </c>
      <c r="D35" s="45">
        <v>0.9</v>
      </c>
      <c r="E35" s="44">
        <v>98</v>
      </c>
    </row>
    <row r="36" spans="2:5" x14ac:dyDescent="0.25">
      <c r="B36" s="44">
        <v>28</v>
      </c>
      <c r="C36" s="44" t="s">
        <v>89</v>
      </c>
      <c r="D36" s="45">
        <v>0.5</v>
      </c>
      <c r="E36" s="44">
        <v>45</v>
      </c>
    </row>
    <row r="37" spans="2:5" x14ac:dyDescent="0.25">
      <c r="B37" s="44">
        <v>29</v>
      </c>
      <c r="C37" s="44" t="s">
        <v>90</v>
      </c>
      <c r="D37" s="45">
        <v>0.47089999999999999</v>
      </c>
      <c r="E37" s="44">
        <v>98</v>
      </c>
    </row>
    <row r="38" spans="2:5" x14ac:dyDescent="0.25">
      <c r="B38" s="44">
        <v>30</v>
      </c>
      <c r="C38" s="44" t="s">
        <v>91</v>
      </c>
      <c r="D38" s="45">
        <v>0.8</v>
      </c>
      <c r="E38" s="44">
        <v>51</v>
      </c>
    </row>
    <row r="39" spans="2:5" x14ac:dyDescent="0.25"/>
  </sheetData>
  <mergeCells count="3">
    <mergeCell ref="B5:S5"/>
    <mergeCell ref="B6:S6"/>
    <mergeCell ref="C2:R3"/>
  </mergeCells>
  <hyperlinks>
    <hyperlink ref="S2" location="'Q9'!A1" tooltip="Q9" display="NEXT"/>
    <hyperlink ref="B2" location="'Q7'!A1" tooltip="Q7" display="BACK"/>
  </hyperlink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K19"/>
  <sheetViews>
    <sheetView showGridLines="0" showRowColHeaders="0" workbookViewId="0"/>
  </sheetViews>
  <sheetFormatPr defaultColWidth="0" defaultRowHeight="15" customHeight="1" zeroHeight="1" x14ac:dyDescent="0.25"/>
  <cols>
    <col min="1" max="1" width="4" bestFit="1" customWidth="1"/>
    <col min="2" max="2" width="9.140625" customWidth="1"/>
    <col min="3" max="3" width="18" bestFit="1" customWidth="1"/>
    <col min="4" max="4" width="15.42578125" bestFit="1" customWidth="1"/>
    <col min="5" max="5" width="16.85546875" customWidth="1"/>
    <col min="6" max="6" width="7.140625" customWidth="1"/>
    <col min="7" max="10" width="9.140625" customWidth="1"/>
    <col min="11" max="11" width="4" bestFit="1" customWidth="1"/>
    <col min="12" max="16384" width="9.140625" hidden="1"/>
  </cols>
  <sheetData>
    <row r="1" spans="2:10" x14ac:dyDescent="0.25"/>
    <row r="2" spans="2:10" ht="15" customHeight="1" x14ac:dyDescent="0.25">
      <c r="B2" s="31" t="s">
        <v>166</v>
      </c>
      <c r="C2" s="52" t="s">
        <v>34</v>
      </c>
      <c r="D2" s="52"/>
      <c r="E2" s="52"/>
      <c r="F2" s="52"/>
      <c r="G2" s="52"/>
      <c r="H2" s="52"/>
      <c r="I2" s="52"/>
      <c r="J2" s="31" t="s">
        <v>165</v>
      </c>
    </row>
    <row r="3" spans="2:10" ht="15" customHeight="1" x14ac:dyDescent="0.25">
      <c r="C3" s="52"/>
      <c r="D3" s="52"/>
      <c r="E3" s="52"/>
      <c r="F3" s="52"/>
      <c r="G3" s="52"/>
      <c r="H3" s="52"/>
      <c r="I3" s="52"/>
    </row>
    <row r="4" spans="2:10" x14ac:dyDescent="0.25"/>
    <row r="5" spans="2:10" x14ac:dyDescent="0.25">
      <c r="B5" s="79" t="s">
        <v>174</v>
      </c>
      <c r="C5" s="80"/>
      <c r="D5" s="80"/>
      <c r="E5" s="80"/>
      <c r="F5" s="80"/>
      <c r="G5" s="80"/>
      <c r="H5" s="80"/>
      <c r="I5" s="80"/>
      <c r="J5" s="81"/>
    </row>
    <row r="6" spans="2:10" x14ac:dyDescent="0.25">
      <c r="B6" s="82"/>
      <c r="C6" s="83"/>
      <c r="D6" s="83"/>
      <c r="E6" s="83"/>
      <c r="F6" s="83"/>
      <c r="G6" s="83"/>
      <c r="H6" s="83"/>
      <c r="I6" s="83"/>
      <c r="J6" s="84"/>
    </row>
    <row r="7" spans="2:10" x14ac:dyDescent="0.25"/>
    <row r="8" spans="2:10" x14ac:dyDescent="0.25"/>
    <row r="9" spans="2:10" ht="15.75" x14ac:dyDescent="0.3">
      <c r="B9" s="32" t="s">
        <v>33</v>
      </c>
      <c r="C9" s="32" t="s">
        <v>173</v>
      </c>
      <c r="D9" s="32" t="s">
        <v>181</v>
      </c>
      <c r="E9" s="32" t="s">
        <v>154</v>
      </c>
    </row>
    <row r="10" spans="2:10" x14ac:dyDescent="0.25">
      <c r="B10" s="33" t="s">
        <v>124</v>
      </c>
      <c r="C10" s="37">
        <v>43254</v>
      </c>
      <c r="D10" s="38">
        <v>50</v>
      </c>
      <c r="E10" s="34"/>
    </row>
    <row r="11" spans="2:10" x14ac:dyDescent="0.25">
      <c r="B11" s="33" t="s">
        <v>139</v>
      </c>
      <c r="C11" s="37">
        <v>43133</v>
      </c>
      <c r="D11" s="38">
        <v>35</v>
      </c>
      <c r="E11" s="34"/>
    </row>
    <row r="12" spans="2:10" x14ac:dyDescent="0.25">
      <c r="B12" s="33" t="s">
        <v>170</v>
      </c>
      <c r="C12" s="37">
        <v>43123</v>
      </c>
      <c r="D12" s="38">
        <v>55</v>
      </c>
      <c r="E12" s="34"/>
    </row>
    <row r="13" spans="2:10" x14ac:dyDescent="0.25">
      <c r="B13" s="33" t="s">
        <v>171</v>
      </c>
      <c r="C13" s="37">
        <v>43257</v>
      </c>
      <c r="D13" s="38">
        <v>30</v>
      </c>
      <c r="E13" s="34"/>
    </row>
    <row r="14" spans="2:10" x14ac:dyDescent="0.25">
      <c r="B14" s="33" t="s">
        <v>172</v>
      </c>
      <c r="C14" s="37">
        <v>43263</v>
      </c>
      <c r="D14" s="38">
        <v>45</v>
      </c>
      <c r="E14" s="34"/>
    </row>
    <row r="15" spans="2:10" x14ac:dyDescent="0.25"/>
    <row r="16" spans="2:10" x14ac:dyDescent="0.25">
      <c r="F16" s="10"/>
    </row>
    <row r="17" x14ac:dyDescent="0.25"/>
    <row r="18" x14ac:dyDescent="0.25"/>
    <row r="19" x14ac:dyDescent="0.25"/>
  </sheetData>
  <mergeCells count="2">
    <mergeCell ref="C2:I3"/>
    <mergeCell ref="B5:J6"/>
  </mergeCells>
  <hyperlinks>
    <hyperlink ref="J2" location="'Q10'!A1" tooltip="Q10" display="NEXT"/>
    <hyperlink ref="B2" location="'Q6'!A1" tooltip="Q6" display="BACK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2:K46"/>
  <sheetViews>
    <sheetView showGridLines="0" workbookViewId="0"/>
  </sheetViews>
  <sheetFormatPr defaultColWidth="0" defaultRowHeight="15" customHeight="1" x14ac:dyDescent="0.25"/>
  <cols>
    <col min="1" max="1" width="4" bestFit="1" customWidth="1"/>
    <col min="2" max="2" width="9.140625" customWidth="1"/>
    <col min="3" max="4" width="10.140625" bestFit="1" customWidth="1"/>
    <col min="5" max="5" width="9.140625" customWidth="1"/>
    <col min="6" max="6" width="13.7109375" customWidth="1"/>
    <col min="7" max="10" width="9.140625" customWidth="1"/>
    <col min="11" max="11" width="4" bestFit="1" customWidth="1"/>
    <col min="12" max="16384" width="9.140625" hidden="1"/>
  </cols>
  <sheetData>
    <row r="2" spans="2:10" ht="15" customHeight="1" x14ac:dyDescent="0.25">
      <c r="B2" s="31" t="s">
        <v>166</v>
      </c>
      <c r="C2" s="52" t="s">
        <v>38</v>
      </c>
      <c r="D2" s="52"/>
      <c r="E2" s="52"/>
      <c r="F2" s="52"/>
      <c r="G2" s="52"/>
      <c r="H2" s="52"/>
      <c r="I2" s="52"/>
    </row>
    <row r="3" spans="2:10" ht="15" customHeight="1" x14ac:dyDescent="0.25">
      <c r="C3" s="52"/>
      <c r="D3" s="52"/>
      <c r="E3" s="52"/>
      <c r="F3" s="52"/>
      <c r="G3" s="52"/>
      <c r="H3" s="52"/>
      <c r="I3" s="52"/>
    </row>
    <row r="5" spans="2:10" x14ac:dyDescent="0.25">
      <c r="B5" s="67" t="s">
        <v>193</v>
      </c>
      <c r="C5" s="67"/>
      <c r="D5" s="67"/>
      <c r="E5" s="67"/>
      <c r="F5" s="67"/>
      <c r="G5" s="67"/>
      <c r="H5" s="67"/>
      <c r="I5" s="67"/>
      <c r="J5" s="67"/>
    </row>
    <row r="6" spans="2:10" x14ac:dyDescent="0.25">
      <c r="B6" s="62"/>
      <c r="C6" s="63"/>
      <c r="D6" s="63"/>
      <c r="E6" s="63"/>
      <c r="F6" s="63"/>
      <c r="G6" s="63"/>
      <c r="H6" s="63"/>
      <c r="I6" s="63"/>
      <c r="J6" s="64"/>
    </row>
    <row r="7" spans="2:10" x14ac:dyDescent="0.25">
      <c r="J7">
        <v>3</v>
      </c>
    </row>
    <row r="8" spans="2:10" x14ac:dyDescent="0.25">
      <c r="B8" s="46" t="s">
        <v>35</v>
      </c>
      <c r="C8" s="46" t="s">
        <v>191</v>
      </c>
    </row>
    <row r="9" spans="2:10" x14ac:dyDescent="0.25">
      <c r="B9" s="36" t="s">
        <v>188</v>
      </c>
      <c r="C9" s="36">
        <v>686</v>
      </c>
    </row>
    <row r="10" spans="2:10" x14ac:dyDescent="0.25">
      <c r="B10" s="36" t="s">
        <v>189</v>
      </c>
      <c r="C10" s="36">
        <v>282</v>
      </c>
    </row>
    <row r="11" spans="2:10" x14ac:dyDescent="0.25">
      <c r="B11" s="36" t="s">
        <v>190</v>
      </c>
      <c r="C11" s="36">
        <v>924</v>
      </c>
    </row>
    <row r="12" spans="2:10" x14ac:dyDescent="0.25">
      <c r="B12" s="36" t="s">
        <v>188</v>
      </c>
      <c r="C12" s="36">
        <v>353</v>
      </c>
    </row>
    <row r="13" spans="2:10" x14ac:dyDescent="0.25">
      <c r="B13" s="36" t="s">
        <v>189</v>
      </c>
      <c r="C13" s="36">
        <v>958</v>
      </c>
      <c r="E13" s="47" t="s">
        <v>192</v>
      </c>
      <c r="F13" s="35"/>
    </row>
    <row r="14" spans="2:10" x14ac:dyDescent="0.25">
      <c r="B14" s="36" t="s">
        <v>190</v>
      </c>
      <c r="C14" s="36">
        <v>731</v>
      </c>
    </row>
    <row r="15" spans="2:10" x14ac:dyDescent="0.25">
      <c r="B15" s="36" t="s">
        <v>188</v>
      </c>
      <c r="C15" s="36">
        <v>435</v>
      </c>
    </row>
    <row r="16" spans="2:10" x14ac:dyDescent="0.25">
      <c r="B16" s="36" t="s">
        <v>188</v>
      </c>
      <c r="C16" s="36">
        <v>262</v>
      </c>
    </row>
    <row r="17" spans="2:3" x14ac:dyDescent="0.25">
      <c r="B17" s="36" t="s">
        <v>189</v>
      </c>
      <c r="C17" s="36">
        <v>273</v>
      </c>
    </row>
    <row r="18" spans="2:3" x14ac:dyDescent="0.25">
      <c r="B18" s="36" t="s">
        <v>190</v>
      </c>
      <c r="C18" s="36">
        <v>754</v>
      </c>
    </row>
    <row r="19" spans="2:3" x14ac:dyDescent="0.25">
      <c r="B19" s="36" t="s">
        <v>188</v>
      </c>
      <c r="C19" s="36">
        <v>891</v>
      </c>
    </row>
    <row r="20" spans="2:3" ht="15" customHeight="1" x14ac:dyDescent="0.25">
      <c r="B20" s="36" t="s">
        <v>189</v>
      </c>
      <c r="C20" s="36">
        <v>182</v>
      </c>
    </row>
    <row r="21" spans="2:3" ht="15" customHeight="1" x14ac:dyDescent="0.25">
      <c r="B21" s="36" t="s">
        <v>190</v>
      </c>
      <c r="C21" s="36">
        <v>782</v>
      </c>
    </row>
    <row r="22" spans="2:3" ht="15" customHeight="1" x14ac:dyDescent="0.25">
      <c r="B22" s="36" t="s">
        <v>188</v>
      </c>
      <c r="C22" s="36">
        <v>335</v>
      </c>
    </row>
    <row r="23" spans="2:3" ht="15" customHeight="1" x14ac:dyDescent="0.25">
      <c r="B23" s="36" t="s">
        <v>189</v>
      </c>
      <c r="C23" s="36">
        <v>216</v>
      </c>
    </row>
    <row r="24" spans="2:3" ht="15" customHeight="1" x14ac:dyDescent="0.25">
      <c r="B24" s="36" t="s">
        <v>190</v>
      </c>
      <c r="C24" s="36">
        <v>884</v>
      </c>
    </row>
    <row r="25" spans="2:3" ht="15" customHeight="1" x14ac:dyDescent="0.25">
      <c r="B25" s="36" t="s">
        <v>188</v>
      </c>
      <c r="C25" s="36">
        <v>876</v>
      </c>
    </row>
    <row r="26" spans="2:3" ht="15" customHeight="1" x14ac:dyDescent="0.25">
      <c r="B26" s="36" t="s">
        <v>189</v>
      </c>
      <c r="C26" s="36">
        <v>767</v>
      </c>
    </row>
    <row r="27" spans="2:3" ht="15" customHeight="1" x14ac:dyDescent="0.25">
      <c r="B27" s="36" t="s">
        <v>190</v>
      </c>
      <c r="C27" s="36">
        <v>730</v>
      </c>
    </row>
    <row r="28" spans="2:3" ht="15" customHeight="1" x14ac:dyDescent="0.25">
      <c r="B28" s="36" t="s">
        <v>188</v>
      </c>
      <c r="C28" s="36">
        <v>966</v>
      </c>
    </row>
    <row r="29" spans="2:3" ht="15" customHeight="1" x14ac:dyDescent="0.25">
      <c r="B29" s="36" t="s">
        <v>189</v>
      </c>
      <c r="C29" s="36">
        <v>63</v>
      </c>
    </row>
    <row r="30" spans="2:3" ht="15" customHeight="1" x14ac:dyDescent="0.25">
      <c r="B30" s="36" t="s">
        <v>190</v>
      </c>
      <c r="C30" s="36">
        <v>231</v>
      </c>
    </row>
    <row r="31" spans="2:3" ht="15" customHeight="1" x14ac:dyDescent="0.25">
      <c r="B31" s="36" t="s">
        <v>188</v>
      </c>
      <c r="C31" s="36">
        <v>810</v>
      </c>
    </row>
    <row r="32" spans="2:3" ht="15" customHeight="1" x14ac:dyDescent="0.25">
      <c r="B32" s="36" t="s">
        <v>189</v>
      </c>
      <c r="C32" s="36">
        <v>852</v>
      </c>
    </row>
    <row r="33" spans="2:3" ht="15" customHeight="1" x14ac:dyDescent="0.25">
      <c r="B33" s="36" t="s">
        <v>190</v>
      </c>
      <c r="C33" s="36">
        <v>197</v>
      </c>
    </row>
    <row r="34" spans="2:3" ht="15" customHeight="1" x14ac:dyDescent="0.25">
      <c r="B34" s="36" t="s">
        <v>188</v>
      </c>
      <c r="C34" s="36">
        <v>335</v>
      </c>
    </row>
    <row r="35" spans="2:3" ht="15" customHeight="1" x14ac:dyDescent="0.25">
      <c r="B35" s="36" t="s">
        <v>188</v>
      </c>
      <c r="C35" s="36">
        <v>310</v>
      </c>
    </row>
    <row r="36" spans="2:3" ht="15" customHeight="1" x14ac:dyDescent="0.25">
      <c r="B36" s="36" t="s">
        <v>189</v>
      </c>
      <c r="C36" s="36">
        <v>718</v>
      </c>
    </row>
    <row r="37" spans="2:3" ht="15" customHeight="1" x14ac:dyDescent="0.25">
      <c r="B37" s="36" t="s">
        <v>190</v>
      </c>
      <c r="C37" s="36">
        <v>37</v>
      </c>
    </row>
    <row r="38" spans="2:3" ht="15" customHeight="1" x14ac:dyDescent="0.25">
      <c r="B38" s="36" t="s">
        <v>188</v>
      </c>
      <c r="C38" s="36">
        <v>900</v>
      </c>
    </row>
    <row r="39" spans="2:3" ht="15" customHeight="1" x14ac:dyDescent="0.25">
      <c r="B39" s="36" t="s">
        <v>189</v>
      </c>
      <c r="C39" s="36">
        <v>64</v>
      </c>
    </row>
    <row r="40" spans="2:3" ht="15" customHeight="1" x14ac:dyDescent="0.25">
      <c r="B40" s="36" t="s">
        <v>190</v>
      </c>
      <c r="C40" s="36">
        <v>193</v>
      </c>
    </row>
    <row r="41" spans="2:3" ht="15" customHeight="1" x14ac:dyDescent="0.25">
      <c r="B41" s="36" t="s">
        <v>188</v>
      </c>
      <c r="C41" s="36">
        <v>827</v>
      </c>
    </row>
    <row r="42" spans="2:3" ht="15" customHeight="1" x14ac:dyDescent="0.25">
      <c r="B42" s="36" t="s">
        <v>189</v>
      </c>
      <c r="C42" s="36">
        <v>654</v>
      </c>
    </row>
    <row r="43" spans="2:3" ht="15" customHeight="1" x14ac:dyDescent="0.25">
      <c r="B43" s="36" t="s">
        <v>190</v>
      </c>
      <c r="C43" s="36">
        <v>138</v>
      </c>
    </row>
    <row r="44" spans="2:3" ht="15" customHeight="1" x14ac:dyDescent="0.25">
      <c r="B44" s="36" t="s">
        <v>188</v>
      </c>
      <c r="C44" s="36">
        <v>283</v>
      </c>
    </row>
    <row r="45" spans="2:3" ht="15" customHeight="1" x14ac:dyDescent="0.25">
      <c r="B45" s="36" t="s">
        <v>189</v>
      </c>
      <c r="C45" s="36">
        <v>266</v>
      </c>
    </row>
    <row r="46" spans="2:3" ht="15" customHeight="1" x14ac:dyDescent="0.25">
      <c r="B46" s="36" t="s">
        <v>190</v>
      </c>
      <c r="C46" s="36">
        <v>438</v>
      </c>
    </row>
  </sheetData>
  <mergeCells count="3">
    <mergeCell ref="C2:I3"/>
    <mergeCell ref="B5:J5"/>
    <mergeCell ref="B6:J6"/>
  </mergeCells>
  <hyperlinks>
    <hyperlink ref="B2" location="'Q6'!A1" tooltip="Q6" display="BACK"/>
  </hyperlink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Option Button 1">
              <controlPr defaultSize="0" autoFill="0" autoLine="0" autoPict="0">
                <anchor moveWithCells="1">
                  <from>
                    <xdr:col>4</xdr:col>
                    <xdr:colOff>447675</xdr:colOff>
                    <xdr:row>7</xdr:row>
                    <xdr:rowOff>76200</xdr:rowOff>
                  </from>
                  <to>
                    <xdr:col>5</xdr:col>
                    <xdr:colOff>419100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5" name="Option Button 2">
              <controlPr defaultSize="0" autoFill="0" autoLine="0" autoPict="0">
                <anchor moveWithCells="1">
                  <from>
                    <xdr:col>5</xdr:col>
                    <xdr:colOff>762000</xdr:colOff>
                    <xdr:row>7</xdr:row>
                    <xdr:rowOff>85725</xdr:rowOff>
                  </from>
                  <to>
                    <xdr:col>6</xdr:col>
                    <xdr:colOff>428625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6" name="Option Button 3">
              <controlPr defaultSize="0" autoFill="0" autoLine="0" autoPict="0">
                <anchor moveWithCells="1">
                  <from>
                    <xdr:col>7</xdr:col>
                    <xdr:colOff>200025</xdr:colOff>
                    <xdr:row>7</xdr:row>
                    <xdr:rowOff>85725</xdr:rowOff>
                  </from>
                  <to>
                    <xdr:col>8</xdr:col>
                    <xdr:colOff>171450</xdr:colOff>
                    <xdr:row>8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Home</vt:lpstr>
      <vt:lpstr>Q1</vt:lpstr>
      <vt:lpstr>Q2</vt:lpstr>
      <vt:lpstr>Q3</vt:lpstr>
      <vt:lpstr>Q4</vt:lpstr>
      <vt:lpstr>Q5</vt:lpstr>
      <vt:lpstr>Q6</vt:lpstr>
      <vt:lpstr>Q7</vt:lpstr>
      <vt:lpstr>Q8</vt:lpstr>
      <vt:lpstr>Q9</vt:lpstr>
      <vt:lpstr>Q10</vt:lpstr>
    </vt:vector>
  </TitlesOfParts>
  <Company>FIS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Walawalkar, Chirayu</dc:creator>
  <cp:lastModifiedBy>SauravG</cp:lastModifiedBy>
  <dcterms:created xsi:type="dcterms:W3CDTF">2014-11-13T12:53:31Z</dcterms:created>
  <dcterms:modified xsi:type="dcterms:W3CDTF">2019-01-22T17:48:44Z</dcterms:modified>
</cp:coreProperties>
</file>